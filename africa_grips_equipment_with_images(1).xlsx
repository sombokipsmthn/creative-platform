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ategories" sheetId="3" state="visible" r:id="rId3"/>
  </sheets>
  <definedNames>
    <definedName name="_xlnm._FilterDatabase" localSheetId="0" hidden="1">'Equipment'!$A$1:$F$390</definedName>
    <definedName name="_xlnm._FilterDatabase" localSheetId="2" hidden="1">'Categories'!$A$1:$B$54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quipmentTable" displayName="EquipmentTable" ref="A1:F390" headerRowCount="1">
  <autoFilter ref="A1:F390"/>
  <tableColumns count="6">
    <tableColumn id="1" name="Equipment"/>
    <tableColumn id="2" name="Cost (KES)"/>
    <tableColumn id="3" name="Image"/>
    <tableColumn id="4" name="Image Search"/>
    <tableColumn id="5" name="Product URL"/>
    <tableColumn id="6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8" customWidth="1" min="3" max="3"/>
    <col width="55" customWidth="1" min="4" max="4"/>
    <col width="65" customWidth="1" min="5" max="5"/>
    <col width="42" customWidth="1" min="6" max="6"/>
    <col width="28" customWidth="1" min="7" max="7"/>
    <col width="28" customWidth="1" min="8" max="8"/>
    <col width="18" customWidth="1" min="9" max="9"/>
    <col width="55" customWidth="1" min="10" max="10"/>
  </cols>
  <sheetData>
    <row r="1">
      <c r="A1" s="1" t="inlineStr">
        <is>
          <t>Equipment</t>
        </is>
      </c>
      <c r="B1" s="1" t="inlineStr">
        <is>
          <t>Cost (KES)</t>
        </is>
      </c>
      <c r="C1" s="1" t="inlineStr">
        <is>
          <t>Image</t>
        </is>
      </c>
      <c r="D1" s="1" t="inlineStr">
        <is>
          <t>Image Search</t>
        </is>
      </c>
      <c r="E1" s="1" t="inlineStr">
        <is>
          <t>Product URL</t>
        </is>
      </c>
      <c r="F1" s="1" t="inlineStr">
        <is>
          <t>Source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Brand</t>
        </is>
      </c>
      <c r="J1" t="inlineStr">
        <is>
          <t>Key Features / Specs</t>
        </is>
      </c>
    </row>
    <row r="2" ht="125" customHeight="1">
      <c r="A2" s="2" t="inlineStr">
        <is>
          <t>DJI Mavic 4 Pro Drone with Fly More Combo</t>
        </is>
      </c>
      <c r="B2" s="3" t="n">
        <v>15000</v>
      </c>
      <c r="C2" s="4">
        <f>IMAGE("https://tse1.mm.bing.net/th?q=DJI%20Mavic%204%20Pro%20Drone%20with%20Fly%20More%20Combo", "DJI Mavic 4 Pro Drone with Fly More Combo", 3, 120, 120)</f>
        <v/>
      </c>
      <c r="D2" s="2" t="inlineStr">
        <is>
          <t>https://tse1.mm.bing.net/th?q=DJI%20Mavic%204%20Pro%20Drone%20with%20Fly%20More%20Combo</t>
        </is>
      </c>
      <c r="E2" s="2" t="inlineStr">
        <is>
          <t>https://gripsfilmsrentals.com/product/dji-mavic-4-pro-drone-with-fly-more-combo/</t>
        </is>
      </c>
      <c r="F2" s="2" t="inlineStr">
        <is>
          <t>https://gripsfilmsrentals.com/shop/</t>
        </is>
      </c>
      <c r="G2" s="8" t="inlineStr">
        <is>
          <t>Drones</t>
        </is>
      </c>
      <c r="H2" s="8" t="inlineStr">
        <is>
          <t>Drone</t>
        </is>
      </c>
      <c r="I2" s="8" t="inlineStr">
        <is>
          <t>DJI</t>
        </is>
      </c>
      <c r="J2" s="9" t="inlineStr"/>
    </row>
    <row r="3" ht="125" customHeight="1">
      <c r="A3" s="2" t="inlineStr">
        <is>
          <t>DJI Air 3S Drone with RC 2 Fly More Combo</t>
        </is>
      </c>
      <c r="B3" s="3" t="n">
        <v>9000</v>
      </c>
      <c r="C3" s="4">
        <f>IMAGE("https://tse1.mm.bing.net/th?q=DJI%20Air%203S%20Drone%20with%20RC%202%20Fly%20More%20Combo", "DJI Air 3S Drone with RC 2 Fly More Combo", 3, 120, 120)</f>
        <v/>
      </c>
      <c r="D3" s="2" t="inlineStr">
        <is>
          <t>https://tse1.mm.bing.net/th?q=DJI%20Air%203S%20Drone%20with%20RC%202%20Fly%20More%20Combo</t>
        </is>
      </c>
      <c r="E3" s="2" t="inlineStr">
        <is>
          <t>https://gripsfilmsrentals.com/product/dji-air-3s-drone-with-rc-2-fly-more-combo/</t>
        </is>
      </c>
      <c r="F3" s="2" t="inlineStr">
        <is>
          <t>https://gripsfilmsrentals.com/shop/</t>
        </is>
      </c>
      <c r="G3" s="8" t="inlineStr">
        <is>
          <t>Drones</t>
        </is>
      </c>
      <c r="H3" s="8" t="inlineStr">
        <is>
          <t>Drone</t>
        </is>
      </c>
      <c r="I3" s="8" t="inlineStr">
        <is>
          <t>DJI</t>
        </is>
      </c>
      <c r="J3" s="9" t="inlineStr"/>
    </row>
    <row r="4" ht="125" customHeight="1">
      <c r="A4" s="2" t="inlineStr">
        <is>
          <t>Nikon NIKKOR Z 180-600mm f/5.6-6.3 VR Lens (Nikon Z)</t>
        </is>
      </c>
      <c r="B4" s="3" t="n">
        <v>3500</v>
      </c>
      <c r="C4" s="4">
        <f>IMAGE("https://tse1.mm.bing.net/th?q=Nikon%20NIKKOR%20Z%20180-600mm%20f/5.6-6.3%20VR%20Lens%20%28Nikon%20Z%29", "Nikon NIKKOR Z 180-600mm f/5.6-6.3 VR Lens (Nikon Z)", 3, 120, 120)</f>
        <v/>
      </c>
      <c r="D4" s="2" t="inlineStr">
        <is>
          <t>https://tse1.mm.bing.net/th?q=Nikon%20NIKKOR%20Z%20180-600mm%20f/5.6-6.3%20VR%20Lens%20%28Nikon%20Z%29</t>
        </is>
      </c>
      <c r="E4" s="2" t="inlineStr">
        <is>
          <t>https://gripsfilmsrentals.com/product/nikon-nikkor-z-180-600mm-f-5-6-6-3-vr-lens-nikon-z/</t>
        </is>
      </c>
      <c r="F4" s="2" t="inlineStr">
        <is>
          <t>https://gripsfilmsrentals.com/shop/</t>
        </is>
      </c>
      <c r="G4" s="8" t="inlineStr">
        <is>
          <t>Lenses</t>
        </is>
      </c>
      <c r="H4" s="8" t="inlineStr">
        <is>
          <t>Nikon</t>
        </is>
      </c>
      <c r="I4" s="8" t="inlineStr">
        <is>
          <t>Nikon</t>
        </is>
      </c>
      <c r="J4" s="9" t="inlineStr">
        <is>
          <t>f/5.6, 180-600mm, Nikon Z</t>
        </is>
      </c>
    </row>
    <row r="5" ht="125" customHeight="1">
      <c r="A5" s="2" t="inlineStr">
        <is>
          <t>Canon RF 100mm f/2.8 L Macro IS USM Lens</t>
        </is>
      </c>
      <c r="B5" s="3" t="n">
        <v>2000</v>
      </c>
      <c r="C5" s="4">
        <f>IMAGE("https://tse1.mm.bing.net/th?q=Canon%20RF%20100mm%20f/2.8%20L%20Macro%20IS%20USM%20Lens", "Canon RF 100mm f/2.8 L Macro IS USM Lens", 3, 120, 120)</f>
        <v/>
      </c>
      <c r="D5" s="2" t="inlineStr">
        <is>
          <t>https://tse1.mm.bing.net/th?q=Canon%20RF%20100mm%20f/2.8%20L%20Macro%20IS%20USM%20Lens</t>
        </is>
      </c>
      <c r="E5" s="2" t="inlineStr">
        <is>
          <t>https://gripsfilmsrentals.com/product/canon-rf-100mm-f-2-8-l-macro-is-usm-lens/</t>
        </is>
      </c>
      <c r="F5" s="2" t="inlineStr">
        <is>
          <t>https://gripsfilmsrentals.com/shop/</t>
        </is>
      </c>
      <c r="G5" s="8" t="inlineStr">
        <is>
          <t>Lenses</t>
        </is>
      </c>
      <c r="H5" s="8" t="inlineStr">
        <is>
          <t>Canon</t>
        </is>
      </c>
      <c r="I5" s="8" t="inlineStr">
        <is>
          <t>Canon</t>
        </is>
      </c>
      <c r="J5" s="9" t="inlineStr">
        <is>
          <t>f/2.8, 100mm, Canon RF, Macro</t>
        </is>
      </c>
    </row>
    <row r="6" ht="125" customHeight="1">
      <c r="A6" s="2" t="inlineStr">
        <is>
          <t>Sony FE 400mm f/2.8 GM OSS Lens</t>
        </is>
      </c>
      <c r="B6" s="3" t="n">
        <v>9000</v>
      </c>
      <c r="C6" s="4">
        <f>IMAGE("https://tse1.mm.bing.net/th?q=Sony%20FE%20400mm%20f/2.8%20GM%20OSS%20Lens", "Sony FE 400mm f/2.8 GM OSS Lens", 3, 120, 120)</f>
        <v/>
      </c>
      <c r="D6" s="2" t="inlineStr">
        <is>
          <t>https://tse1.mm.bing.net/th?q=Sony%20FE%20400mm%20f/2.8%20GM%20OSS%20Lens</t>
        </is>
      </c>
      <c r="E6" s="2" t="inlineStr">
        <is>
          <t>https://gripsfilmsrentals.com/product/sony-fe-400mm-f-2-8-gm-oss-lens/</t>
        </is>
      </c>
      <c r="F6" s="2" t="inlineStr">
        <is>
          <t>https://gripsfilmsrentals.com/shop/</t>
        </is>
      </c>
      <c r="G6" s="8" t="inlineStr">
        <is>
          <t>Lenses</t>
        </is>
      </c>
      <c r="H6" s="8" t="inlineStr">
        <is>
          <t>Sony</t>
        </is>
      </c>
      <c r="I6" s="8" t="inlineStr">
        <is>
          <t>Sony</t>
        </is>
      </c>
      <c r="J6" s="9" t="inlineStr">
        <is>
          <t>f/2.8, 400mm</t>
        </is>
      </c>
    </row>
    <row r="7" ht="125" customHeight="1">
      <c r="A7" s="2" t="inlineStr">
        <is>
          <t>Sirui BCT-3203 Carbon Fiber Video Tripod with VHS18 Fluid Head</t>
        </is>
      </c>
      <c r="B7" s="3" t="n">
        <v>7500</v>
      </c>
      <c r="C7" s="4">
        <f>IMAGE("https://tse1.mm.bing.net/th?q=Sirui%20BCT-3203%20Carbon%20Fiber%20Video%20Tripod%20with%20VHS18%20Fluid%20Head", "Sirui BCT-3203 Carbon Fiber Video Tripod with VHS18 Fluid Head", 3, 120, 120)</f>
        <v/>
      </c>
      <c r="D7" s="2" t="inlineStr">
        <is>
          <t>https://tse1.mm.bing.net/th?q=Sirui%20BCT-3203%20Carbon%20Fiber%20Video%20Tripod%20with%20VHS18%20Fluid%20Head</t>
        </is>
      </c>
      <c r="E7" s="2" t="inlineStr">
        <is>
          <t>https://gripsfilmsrentals.com/product/sirui-bct-3203-carbon-fiber-video-tripod-with-vhs18-fluid-head/</t>
        </is>
      </c>
      <c r="F7" s="2" t="inlineStr">
        <is>
          <t>https://gripsfilmsrentals.com/shop/</t>
        </is>
      </c>
      <c r="G7" s="8" t="inlineStr">
        <is>
          <t>Stands</t>
        </is>
      </c>
      <c r="H7" s="8" t="inlineStr">
        <is>
          <t>Stand / Support</t>
        </is>
      </c>
      <c r="I7" s="8" t="inlineStr"/>
      <c r="J7" s="9" t="inlineStr"/>
    </row>
    <row r="8" ht="125" customHeight="1">
      <c r="A8" s="2" t="inlineStr">
        <is>
          <t>OConnor 2575E Head &amp; 150mm Cine Tripod System with Floor Spreader</t>
        </is>
      </c>
      <c r="B8" s="3" t="n">
        <v>17000</v>
      </c>
      <c r="C8" s="4">
        <f>IMAGE("https://tse1.mm.bing.net/th?q=OConnor%202575E%20Head%20%26%20150mm%20Cine%20Tripod%20System%20with%20Floor%20Spreader", "OConnor 2575E Head &amp; 150mm Cine Tripod System with Floor Spreader", 3, 120, 120)</f>
        <v/>
      </c>
      <c r="D8" s="2" t="inlineStr">
        <is>
          <t>https://tse1.mm.bing.net/th?q=OConnor%202575E%20Head%20%26%20150mm%20Cine%20Tripod%20System%20with%20Floor%20Spreader</t>
        </is>
      </c>
      <c r="E8" s="2" t="inlineStr">
        <is>
          <t>https://gripsfilmsrentals.com/product/oconnor-2575e-head--150mm-cine-tripod-system-with-floor-spreader/</t>
        </is>
      </c>
      <c r="F8" s="2" t="inlineStr">
        <is>
          <t>https://gripsfilmsrentals.com/shop/</t>
        </is>
      </c>
      <c r="G8" s="8" t="inlineStr">
        <is>
          <t>Stands</t>
        </is>
      </c>
      <c r="H8" s="8" t="inlineStr">
        <is>
          <t>Stand / Support</t>
        </is>
      </c>
      <c r="I8" s="8" t="inlineStr">
        <is>
          <t>OConnor</t>
        </is>
      </c>
      <c r="J8" s="9" t="inlineStr">
        <is>
          <t>150mm, Cine</t>
        </is>
      </c>
    </row>
    <row r="9" ht="125" customHeight="1">
      <c r="A9" s="2" t="inlineStr">
        <is>
          <t>Nikon ZR 6K Cinema Camera</t>
        </is>
      </c>
      <c r="B9" s="3" t="n">
        <v>6000</v>
      </c>
      <c r="C9" s="4">
        <f>IMAGE("https://tse1.mm.bing.net/th?q=Nikon%20ZR%206K%20Cinema%20Camera", "Nikon ZR 6K Cinema Camera", 3, 120, 120)</f>
        <v/>
      </c>
      <c r="D9" s="2" t="inlineStr">
        <is>
          <t>https://tse1.mm.bing.net/th?q=Nikon%20ZR%206K%20Cinema%20Camera</t>
        </is>
      </c>
      <c r="E9" s="2" t="inlineStr">
        <is>
          <t>https://gripsfilmsrentals.com/product/nikon-zr-6k-cinema-camera/</t>
        </is>
      </c>
      <c r="F9" s="2" t="inlineStr">
        <is>
          <t>https://gripsfilmsrentals.com/shop/</t>
        </is>
      </c>
      <c r="G9" s="8" t="inlineStr">
        <is>
          <t>Cameras</t>
        </is>
      </c>
      <c r="H9" s="8" t="inlineStr">
        <is>
          <t>Nikon</t>
        </is>
      </c>
      <c r="I9" s="8" t="inlineStr">
        <is>
          <t>Nikon</t>
        </is>
      </c>
      <c r="J9" s="9" t="inlineStr">
        <is>
          <t>6K, Nikon Z, Cine, Cinema</t>
        </is>
      </c>
    </row>
    <row r="10" ht="125" customHeight="1">
      <c r="A10" s="2" t="inlineStr">
        <is>
          <t>Canon EOS R6 Mark III Mirrorless Camera</t>
        </is>
      </c>
      <c r="B10" s="3" t="n">
        <v>6000</v>
      </c>
      <c r="C10" s="4">
        <f>IMAGE("https://tse1.mm.bing.net/th?q=Canon%20EOS%20R6%20Mark%20III%20Mirrorless%20Camera", "Canon EOS R6 Mark III Mirrorless Camera", 3, 120, 120)</f>
        <v/>
      </c>
      <c r="D10" s="2" t="inlineStr">
        <is>
          <t>https://tse1.mm.bing.net/th?q=Canon%20EOS%20R6%20Mark%20III%20Mirrorless%20Camera</t>
        </is>
      </c>
      <c r="E10" s="2" t="inlineStr">
        <is>
          <t>https://gripsfilmsrentals.com/product/canon-eos-r6-mark-iii-mirrorless-camera/</t>
        </is>
      </c>
      <c r="F10" s="2" t="inlineStr">
        <is>
          <t>https://gripsfilmsrentals.com/shop/</t>
        </is>
      </c>
      <c r="G10" s="8" t="inlineStr">
        <is>
          <t>Cameras</t>
        </is>
      </c>
      <c r="H10" s="8" t="inlineStr">
        <is>
          <t>Canon</t>
        </is>
      </c>
      <c r="I10" s="8" t="inlineStr">
        <is>
          <t>Canon</t>
        </is>
      </c>
      <c r="J10" s="9" t="inlineStr">
        <is>
          <t>Mirrorless</t>
        </is>
      </c>
    </row>
    <row r="11" ht="125" customHeight="1">
      <c r="A11" s="2" t="inlineStr">
        <is>
          <t>Canon EOS C50 Full-Frame Cinema Camera (Canon RF)</t>
        </is>
      </c>
      <c r="B11" s="3" t="n">
        <v>7000</v>
      </c>
      <c r="C11" s="4">
        <f>IMAGE("https://tse1.mm.bing.net/th?q=Canon%20EOS%20C50%20Full-Frame%20Cinema%20Camera%20%28Canon%20RF%29", "Canon EOS C50 Full-Frame Cinema Camera (Canon RF)", 3, 120, 120)</f>
        <v/>
      </c>
      <c r="D11" s="2" t="inlineStr">
        <is>
          <t>https://tse1.mm.bing.net/th?q=Canon%20EOS%20C50%20Full-Frame%20Cinema%20Camera%20%28Canon%20RF%29</t>
        </is>
      </c>
      <c r="E11" s="2" t="inlineStr">
        <is>
          <t>https://gripsfilmsrentals.com/product/canon-eos-c50-full-frame-cinema-camera-canon-rf/</t>
        </is>
      </c>
      <c r="F11" s="2" t="inlineStr">
        <is>
          <t>https://gripsfilmsrentals.com/shop/</t>
        </is>
      </c>
      <c r="G11" s="8" t="inlineStr">
        <is>
          <t>Cameras</t>
        </is>
      </c>
      <c r="H11" s="8" t="inlineStr">
        <is>
          <t>Canon</t>
        </is>
      </c>
      <c r="I11" s="8" t="inlineStr">
        <is>
          <t>Canon</t>
        </is>
      </c>
      <c r="J11" s="9" t="inlineStr">
        <is>
          <t>Full-Frame, Canon RF, Cine, Cinema</t>
        </is>
      </c>
    </row>
    <row r="12" ht="125" customHeight="1">
      <c r="A12" s="2" t="inlineStr">
        <is>
          <t>Venus Optics Laowa 24mm f/14 Probe Lens (Canon EF, Cine-Mod Version)</t>
        </is>
      </c>
      <c r="B12" s="3" t="n">
        <v>3500</v>
      </c>
      <c r="C12" s="4">
        <f>IMAGE("https://tse1.mm.bing.net/th?q=Venus%20Optics%20Laowa%2024mm%20f/14%20Probe%20Lens%20%28Canon%20EF%2C%20Cine-Mod%20Version%29", "Venus Optics Laowa 24mm f/14 Probe Lens (Canon EF, Cine-Mod Version)", 3, 120, 120)</f>
        <v/>
      </c>
      <c r="D12" s="2" t="inlineStr">
        <is>
          <t>https://tse1.mm.bing.net/th?q=Venus%20Optics%20Laowa%2024mm%20f/14%20Probe%20Lens%20%28Canon%20EF%2C%20Cine-Mod%20Version%29</t>
        </is>
      </c>
      <c r="E12" s="2" t="inlineStr">
        <is>
          <t>https://gripsfilmsrentals.com/product/venus-optics-laowa-24mm-f-14-probe-lens-canon-ef-cine-mod-version/</t>
        </is>
      </c>
      <c r="F12" s="2" t="inlineStr">
        <is>
          <t>https://gripsfilmsrentals.com/shop/</t>
        </is>
      </c>
      <c r="G12" s="8" t="inlineStr">
        <is>
          <t>Lenses</t>
        </is>
      </c>
      <c r="H12" s="8" t="inlineStr">
        <is>
          <t>Canon</t>
        </is>
      </c>
      <c r="I12" s="8" t="inlineStr">
        <is>
          <t>Canon</t>
        </is>
      </c>
      <c r="J12" s="9" t="inlineStr">
        <is>
          <t>f/14, 24mm, Canon EF, Cine</t>
        </is>
      </c>
    </row>
    <row r="13" ht="125" customHeight="1">
      <c r="A13" s="2" t="inlineStr">
        <is>
          <t>Canon RF 400mm f/2.8 L IS USM Lens</t>
        </is>
      </c>
      <c r="B13" s="3" t="n">
        <v>10000</v>
      </c>
      <c r="C13" s="4">
        <f>IMAGE("https://tse1.mm.bing.net/th?q=Canon%20RF%20400mm%20f/2.8%20L%20IS%20USM%20Lens", "Canon RF 400mm f/2.8 L IS USM Lens", 3, 120, 120)</f>
        <v/>
      </c>
      <c r="D13" s="2" t="inlineStr">
        <is>
          <t>https://tse1.mm.bing.net/th?q=Canon%20RF%20400mm%20f/2.8%20L%20IS%20USM%20Lens</t>
        </is>
      </c>
      <c r="E13" s="2" t="inlineStr">
        <is>
          <t>https://gripsfilmsrentals.com/product/canon-rf-400mm-f-2-8-l-is-usm-lens/</t>
        </is>
      </c>
      <c r="F13" s="2" t="inlineStr">
        <is>
          <t>https://gripsfilmsrentals.com/shop/</t>
        </is>
      </c>
      <c r="G13" s="8" t="inlineStr">
        <is>
          <t>Lenses</t>
        </is>
      </c>
      <c r="H13" s="8" t="inlineStr">
        <is>
          <t>Canon</t>
        </is>
      </c>
      <c r="I13" s="8" t="inlineStr">
        <is>
          <t>Canon</t>
        </is>
      </c>
      <c r="J13" s="9" t="inlineStr">
        <is>
          <t>f/2.8, 400mm, Canon RF</t>
        </is>
      </c>
    </row>
    <row r="14" ht="125" customHeight="1">
      <c r="A14" s="2" t="inlineStr">
        <is>
          <t>Canon RF 100-300mm f/2.8 L IS USM Lens (Canon RF)</t>
        </is>
      </c>
      <c r="B14" s="3" t="n">
        <v>10000</v>
      </c>
      <c r="C14" s="4">
        <f>IMAGE("https://tse1.mm.bing.net/th?q=Canon%20RF%20100-300mm%20f/2.8%20L%20IS%20USM%20Lens%20%28Canon%20RF%29", "Canon RF 100-300mm f/2.8 L IS USM Lens (Canon RF)", 3, 120, 120)</f>
        <v/>
      </c>
      <c r="D14" s="2" t="inlineStr">
        <is>
          <t>https://tse1.mm.bing.net/th?q=Canon%20RF%20100-300mm%20f/2.8%20L%20IS%20USM%20Lens%20%28Canon%20RF%29</t>
        </is>
      </c>
      <c r="E14" s="2" t="inlineStr">
        <is>
          <t>https://gripsfilmsrentals.com/product/canon-rf-100-300mm-f-2-8-l-is-usm-lens-canon-rf/</t>
        </is>
      </c>
      <c r="F14" s="2" t="inlineStr">
        <is>
          <t>https://gripsfilmsrentals.com/shop/</t>
        </is>
      </c>
      <c r="G14" s="8" t="inlineStr">
        <is>
          <t>Lenses</t>
        </is>
      </c>
      <c r="H14" s="8" t="inlineStr">
        <is>
          <t>Canon</t>
        </is>
      </c>
      <c r="I14" s="8" t="inlineStr">
        <is>
          <t>Canon</t>
        </is>
      </c>
      <c r="J14" s="9" t="inlineStr">
        <is>
          <t>f/2.8, 100-300mm, Canon RF</t>
        </is>
      </c>
    </row>
    <row r="15" ht="125" customHeight="1">
      <c r="A15" s="2" t="inlineStr">
        <is>
          <t>Canon EF 600mm f/4L IS III USM Lens</t>
        </is>
      </c>
      <c r="B15" s="3" t="n">
        <v>10000</v>
      </c>
      <c r="C15" s="4">
        <f>IMAGE("https://tse1.mm.bing.net/th?q=Canon%20EF%20600mm%20f/4L%20IS%20III%20USM%20Lens", "Canon EF 600mm f/4L IS III USM Lens", 3, 120, 120)</f>
        <v/>
      </c>
      <c r="D15" s="2" t="inlineStr">
        <is>
          <t>https://tse1.mm.bing.net/th?q=Canon%20EF%20600mm%20f/4L%20IS%20III%20USM%20Lens</t>
        </is>
      </c>
      <c r="E15" s="2" t="inlineStr">
        <is>
          <t>https://gripsfilmsrentals.com/product/canon-ef-600mm-f-4l-is-iii-usm-lens/</t>
        </is>
      </c>
      <c r="F15" s="2" t="inlineStr">
        <is>
          <t>https://gripsfilmsrentals.com/shop/</t>
        </is>
      </c>
      <c r="G15" s="8" t="inlineStr">
        <is>
          <t>Lenses</t>
        </is>
      </c>
      <c r="H15" s="8" t="inlineStr">
        <is>
          <t>Canon</t>
        </is>
      </c>
      <c r="I15" s="8" t="inlineStr">
        <is>
          <t>Canon</t>
        </is>
      </c>
      <c r="J15" s="9" t="inlineStr">
        <is>
          <t>600mm, Canon EF</t>
        </is>
      </c>
    </row>
    <row r="16" ht="125" customHeight="1">
      <c r="A16" s="2" t="inlineStr">
        <is>
          <t>Sony FE 300mm f/2.8 GM OSS Lens (Sony E)</t>
        </is>
      </c>
      <c r="B16" s="3" t="n">
        <v>6000</v>
      </c>
      <c r="C16" s="4">
        <f>IMAGE("https://tse1.mm.bing.net/th?q=Sony%20FE%20300mm%20f/2.8%20GM%20OSS%20Lens%20%28Sony%20E%29", "Sony FE 300mm f/2.8 GM OSS Lens (Sony E)", 3, 120, 120)</f>
        <v/>
      </c>
      <c r="D16" s="2" t="inlineStr">
        <is>
          <t>https://tse1.mm.bing.net/th?q=Sony%20FE%20300mm%20f/2.8%20GM%20OSS%20Lens%20%28Sony%20E%29</t>
        </is>
      </c>
      <c r="E16" s="2" t="inlineStr">
        <is>
          <t>https://gripsfilmsrentals.com/product/sony-fe-300mm-f-2-8-gm-oss-lens-sony-e/</t>
        </is>
      </c>
      <c r="F16" s="2" t="inlineStr">
        <is>
          <t>https://gripsfilmsrentals.com/shop/</t>
        </is>
      </c>
      <c r="G16" s="8" t="inlineStr">
        <is>
          <t>Lenses</t>
        </is>
      </c>
      <c r="H16" s="8" t="inlineStr">
        <is>
          <t>Sony</t>
        </is>
      </c>
      <c r="I16" s="8" t="inlineStr">
        <is>
          <t>Sony</t>
        </is>
      </c>
      <c r="J16" s="9" t="inlineStr">
        <is>
          <t>f/2.8, 300mm, Sony E</t>
        </is>
      </c>
    </row>
    <row r="17" ht="125" customHeight="1">
      <c r="A17" s="2" t="inlineStr">
        <is>
          <t>Sony FE 50-150mm f/2 GM Lens (Sony E)</t>
        </is>
      </c>
      <c r="B17" s="3" t="n">
        <v>3500</v>
      </c>
      <c r="C17" s="4">
        <f>IMAGE("https://tse1.mm.bing.net/th?q=Sony%20FE%2050-150mm%20f/2%20GM%20Lens%20%28Sony%20E%29", "Sony FE 50-150mm f/2 GM Lens (Sony E)", 3, 120, 120)</f>
        <v/>
      </c>
      <c r="D17" s="2" t="inlineStr">
        <is>
          <t>https://tse1.mm.bing.net/th?q=Sony%20FE%2050-150mm%20f/2%20GM%20Lens%20%28Sony%20E%29</t>
        </is>
      </c>
      <c r="E17" s="2" t="inlineStr">
        <is>
          <t>https://gripsfilmsrentals.com/product/sony-fe-50-150mm-f-2-gm-lens-sony-e/</t>
        </is>
      </c>
      <c r="F17" s="2" t="inlineStr">
        <is>
          <t>https://gripsfilmsrentals.com/shop/</t>
        </is>
      </c>
      <c r="G17" s="8" t="inlineStr">
        <is>
          <t>Lenses</t>
        </is>
      </c>
      <c r="H17" s="8" t="inlineStr">
        <is>
          <t>Sony</t>
        </is>
      </c>
      <c r="I17" s="8" t="inlineStr">
        <is>
          <t>Sony</t>
        </is>
      </c>
      <c r="J17" s="9" t="inlineStr">
        <is>
          <t>f/2, 50-150mm, Sony E</t>
        </is>
      </c>
    </row>
    <row r="18" ht="125" customHeight="1">
      <c r="A18" s="2" t="inlineStr">
        <is>
          <t>Nikon Z8 Mirrorless Camera</t>
        </is>
      </c>
      <c r="B18" s="3" t="n">
        <v>8000</v>
      </c>
      <c r="C18" s="4">
        <f>IMAGE("https://tse1.mm.bing.net/th?q=Nikon%20Z8%20Mirrorless%20Camera", "Nikon Z8 Mirrorless Camera", 3, 120, 120)</f>
        <v/>
      </c>
      <c r="D18" s="2" t="inlineStr">
        <is>
          <t>https://tse1.mm.bing.net/th?q=Nikon%20Z8%20Mirrorless%20Camera</t>
        </is>
      </c>
      <c r="E18" s="2" t="inlineStr">
        <is>
          <t>https://gripsfilmsrentals.com/product/nikon-z8-mirrorless-camera/</t>
        </is>
      </c>
      <c r="F18" s="2" t="inlineStr">
        <is>
          <t>https://gripsfilmsrentals.com/shop/</t>
        </is>
      </c>
      <c r="G18" s="8" t="inlineStr">
        <is>
          <t>Cameras</t>
        </is>
      </c>
      <c r="H18" s="8" t="inlineStr">
        <is>
          <t>Nikon</t>
        </is>
      </c>
      <c r="I18" s="8" t="inlineStr">
        <is>
          <t>Nikon</t>
        </is>
      </c>
      <c r="J18" s="9" t="inlineStr">
        <is>
          <t>Nikon Z, Mirrorless</t>
        </is>
      </c>
    </row>
    <row r="19" ht="125" customHeight="1">
      <c r="A19" s="2" t="inlineStr">
        <is>
          <t>Canon RF 135mm f/1.8 L IS USM Lens</t>
        </is>
      </c>
      <c r="B19" s="3" t="n">
        <v>2000</v>
      </c>
      <c r="C19" s="4">
        <f>IMAGE("https://tse1.mm.bing.net/th?q=Canon%20RF%20135mm%20f/1.8%20L%20IS%20USM%20Lens", "Canon RF 135mm f/1.8 L IS USM Lens", 3, 120, 120)</f>
        <v/>
      </c>
      <c r="D19" s="2" t="inlineStr">
        <is>
          <t>https://tse1.mm.bing.net/th?q=Canon%20RF%20135mm%20f/1.8%20L%20IS%20USM%20Lens</t>
        </is>
      </c>
      <c r="E19" s="2" t="inlineStr">
        <is>
          <t>https://gripsfilmsrentals.com/product/canon-rf-135mm-f-1-8-l-is-usm-lens/</t>
        </is>
      </c>
      <c r="F19" s="2" t="inlineStr">
        <is>
          <t>https://gripsfilmsrentals.com/shop/</t>
        </is>
      </c>
      <c r="G19" s="8" t="inlineStr">
        <is>
          <t>Lenses</t>
        </is>
      </c>
      <c r="H19" s="8" t="inlineStr">
        <is>
          <t>Canon</t>
        </is>
      </c>
      <c r="I19" s="8" t="inlineStr">
        <is>
          <t>Canon</t>
        </is>
      </c>
      <c r="J19" s="9" t="inlineStr">
        <is>
          <t>f/1.8, 135mm, Canon RF</t>
        </is>
      </c>
    </row>
    <row r="20" ht="125" customHeight="1">
      <c r="A20" s="2" t="inlineStr">
        <is>
          <t>Sony FE 28-70mm f/2 GM Lens (Sony E)</t>
        </is>
      </c>
      <c r="B20" s="3" t="n">
        <v>3500</v>
      </c>
      <c r="C20" s="4">
        <f>IMAGE("https://tse1.mm.bing.net/th?q=Sony%20FE%2028-70mm%20f/2%20GM%20Lens%20%28Sony%20E%29", "Sony FE 28-70mm f/2 GM Lens (Sony E)", 3, 120, 120)</f>
        <v/>
      </c>
      <c r="D20" s="2" t="inlineStr">
        <is>
          <t>https://tse1.mm.bing.net/th?q=Sony%20FE%2028-70mm%20f/2%20GM%20Lens%20%28Sony%20E%29</t>
        </is>
      </c>
      <c r="E20" s="2" t="inlineStr">
        <is>
          <t>https://gripsfilmsrentals.com/product/sony-fe-28-70mm-f-2-gm-lens-sony-e/</t>
        </is>
      </c>
      <c r="F20" s="2" t="inlineStr">
        <is>
          <t>https://gripsfilmsrentals.com/shop/</t>
        </is>
      </c>
      <c r="G20" s="8" t="inlineStr">
        <is>
          <t>Lenses</t>
        </is>
      </c>
      <c r="H20" s="8" t="inlineStr">
        <is>
          <t>Sony</t>
        </is>
      </c>
      <c r="I20" s="8" t="inlineStr">
        <is>
          <t>Sony</t>
        </is>
      </c>
      <c r="J20" s="9" t="inlineStr">
        <is>
          <t>f/2, 28-70mm, Sony E</t>
        </is>
      </c>
    </row>
    <row r="21" ht="125" customHeight="1">
      <c r="A21" s="2" t="inlineStr">
        <is>
          <t>Sony FX30 Digital Cinema Camera</t>
        </is>
      </c>
      <c r="B21" s="3" t="n">
        <v>5000</v>
      </c>
      <c r="C21" s="4">
        <f>IMAGE("https://tse1.mm.bing.net/th?q=Sony%20FX30%20Digital%20Cinema%20Camera", "Sony FX30 Digital Cinema Camera", 3, 120, 120)</f>
        <v/>
      </c>
      <c r="D21" s="2" t="inlineStr">
        <is>
          <t>https://tse1.mm.bing.net/th?q=Sony%20FX30%20Digital%20Cinema%20Camera</t>
        </is>
      </c>
      <c r="E21" s="2" t="inlineStr">
        <is>
          <t>https://gripsfilmsrentals.com/product/sony-fx30-digital-cinema-camera/</t>
        </is>
      </c>
      <c r="F21" s="2" t="inlineStr">
        <is>
          <t>https://gripsfilmsrentals.com/shop/</t>
        </is>
      </c>
      <c r="G21" s="8" t="inlineStr">
        <is>
          <t>Cameras</t>
        </is>
      </c>
      <c r="H21" s="8" t="inlineStr">
        <is>
          <t>Sony</t>
        </is>
      </c>
      <c r="I21" s="8" t="inlineStr">
        <is>
          <t>Sony</t>
        </is>
      </c>
      <c r="J21" s="9" t="inlineStr">
        <is>
          <t>Cine, Cinema, Digital Cinema</t>
        </is>
      </c>
    </row>
    <row r="22" ht="125" customHeight="1">
      <c r="A22" s="2" t="inlineStr">
        <is>
          <t>Canon CN7x17 KAS S Cine-Servo 17-120mm T2.95 (PL Mount)</t>
        </is>
      </c>
      <c r="B22" s="3" t="n">
        <v>15000</v>
      </c>
      <c r="C22" s="4">
        <f>IMAGE("https://tse1.mm.bing.net/th?q=Canon%20CN7x17%20KAS%20S%20Cine-Servo%2017-120mm%20T2.95%20%28PL%20Mount%29", "Canon CN7x17 KAS S Cine-Servo 17-120mm T2.95 (PL Mount)", 3, 120, 120)</f>
        <v/>
      </c>
      <c r="D22" s="2" t="inlineStr">
        <is>
          <t>https://tse1.mm.bing.net/th?q=Canon%20CN7x17%20KAS%20S%20Cine-Servo%2017-120mm%20T2.95%20%28PL%20Mount%29</t>
        </is>
      </c>
      <c r="E22" s="2" t="inlineStr">
        <is>
          <t>https://gripsfilmsrentals.com/product/canon-cn7x17-kas-s-cine-servo-17-120mm-t2-95-pl-mount/</t>
        </is>
      </c>
      <c r="F22" s="2" t="inlineStr">
        <is>
          <t>https://gripsfilmsrentals.com/shop/</t>
        </is>
      </c>
      <c r="G22" s="8" t="inlineStr">
        <is>
          <t>Lenses</t>
        </is>
      </c>
      <c r="H22" s="8" t="inlineStr">
        <is>
          <t>Canon</t>
        </is>
      </c>
      <c r="I22" s="8" t="inlineStr">
        <is>
          <t>Canon</t>
        </is>
      </c>
      <c r="J22" s="9" t="inlineStr">
        <is>
          <t>17-120mm, PL Mount, Cine</t>
        </is>
      </c>
    </row>
    <row r="23" ht="125" customHeight="1">
      <c r="A23" s="2" t="inlineStr">
        <is>
          <t>Cartoni Maxima 30 Head with K701 Tripod and Mid-Level Spreader</t>
        </is>
      </c>
      <c r="B23" s="3" t="n">
        <v>15000</v>
      </c>
      <c r="C23" s="4">
        <f>IMAGE("https://tse1.mm.bing.net/th?q=Cartoni%20Maxima%2030%20Head%20with%20K701%20Tripod%20and%20Mid-Level%20Spreader", "Cartoni Maxima 30 Head with K701 Tripod and Mid-Level Spreader", 3, 120, 120)</f>
        <v/>
      </c>
      <c r="D23" s="2" t="inlineStr">
        <is>
          <t>https://tse1.mm.bing.net/th?q=Cartoni%20Maxima%2030%20Head%20with%20K701%20Tripod%20and%20Mid-Level%20Spreader</t>
        </is>
      </c>
      <c r="E23" s="2" t="inlineStr">
        <is>
          <t>https://gripsfilmsrentals.com/product/cartoni-maxima-30-head-with-k701-tripod-and-mid-level-spreader/</t>
        </is>
      </c>
      <c r="F23" s="2" t="inlineStr">
        <is>
          <t>https://gripsfilmsrentals.com/shop/</t>
        </is>
      </c>
      <c r="G23" s="8" t="inlineStr">
        <is>
          <t>Stands</t>
        </is>
      </c>
      <c r="H23" s="8" t="inlineStr">
        <is>
          <t>Stand / Support</t>
        </is>
      </c>
      <c r="I23" s="8" t="inlineStr">
        <is>
          <t>Cartoni</t>
        </is>
      </c>
      <c r="J23" s="9" t="inlineStr"/>
    </row>
    <row r="24" ht="125" customHeight="1">
      <c r="A24" s="2" t="inlineStr">
        <is>
          <t>Sony PXW-Z200 4K XDCAM Camcorder</t>
        </is>
      </c>
      <c r="B24" s="3" t="n">
        <v>6000</v>
      </c>
      <c r="C24" s="4">
        <f>IMAGE("https://tse1.mm.bing.net/th?q=Sony%20PXW-Z200%204K%20XDCAM%20Camcorder", "Sony PXW-Z200 4K XDCAM Camcorder", 3, 120, 120)</f>
        <v/>
      </c>
      <c r="D24" s="2" t="inlineStr">
        <is>
          <t>https://tse1.mm.bing.net/th?q=Sony%20PXW-Z200%204K%20XDCAM%20Camcorder</t>
        </is>
      </c>
      <c r="E24" s="2" t="inlineStr">
        <is>
          <t>https://gripsfilmsrentals.com/product/sony-pxw-z200-4k-xdcam-camcorder/</t>
        </is>
      </c>
      <c r="F24" s="2" t="inlineStr">
        <is>
          <t>https://gripsfilmsrentals.com/shop/</t>
        </is>
      </c>
      <c r="G24" s="8" t="inlineStr">
        <is>
          <t>Cameras</t>
        </is>
      </c>
      <c r="H24" s="8" t="inlineStr">
        <is>
          <t>Sony</t>
        </is>
      </c>
      <c r="I24" s="8" t="inlineStr">
        <is>
          <t>Sony</t>
        </is>
      </c>
      <c r="J24" s="9" t="inlineStr">
        <is>
          <t>4K, Camcorder</t>
        </is>
      </c>
    </row>
    <row r="25" ht="125" customHeight="1">
      <c r="A25" s="2" t="inlineStr">
        <is>
          <t>Sigma 60-600mm f/4.5-6.3 DG OS HSM Sports Lens (Nikon F)</t>
        </is>
      </c>
      <c r="B25" s="3" t="n">
        <v>3500</v>
      </c>
      <c r="C25" s="4">
        <f>IMAGE("https://tse1.mm.bing.net/th?q=Sigma%2060-600mm%20f/4.5-6.3%20DG%20OS%20HSM%20Sports%20Lens%20%28Nikon%20F%29", "Sigma 60-600mm f/4.5-6.3 DG OS HSM Sports Lens (Nikon F)", 3, 120, 120)</f>
        <v/>
      </c>
      <c r="D25" s="2" t="inlineStr">
        <is>
          <t>https://tse1.mm.bing.net/th?q=Sigma%2060-600mm%20f/4.5-6.3%20DG%20OS%20HSM%20Sports%20Lens%20%28Nikon%20F%29</t>
        </is>
      </c>
      <c r="E25" s="2" t="inlineStr">
        <is>
          <t>https://gripsfilmsrentals.com/product/sigma-60-600mm-f-4-5-6-3-dg-os-hsm-sports-lens-nikon-f/</t>
        </is>
      </c>
      <c r="F25" s="2" t="inlineStr">
        <is>
          <t>https://gripsfilmsrentals.com/shop/</t>
        </is>
      </c>
      <c r="G25" s="8" t="inlineStr">
        <is>
          <t>Lenses</t>
        </is>
      </c>
      <c r="H25" s="8" t="inlineStr">
        <is>
          <t>Nikon</t>
        </is>
      </c>
      <c r="I25" s="8" t="inlineStr">
        <is>
          <t>Nikon</t>
        </is>
      </c>
      <c r="J25" s="9" t="inlineStr">
        <is>
          <t>f/4.5, 60-600mm, Nikon F</t>
        </is>
      </c>
    </row>
    <row r="26" ht="125" customHeight="1">
      <c r="A26" s="2" t="inlineStr">
        <is>
          <t>Sachtler Video 18 S2 Fluid Head &amp; ENG 2 CF Tripod System with Mid-Level Spreader</t>
        </is>
      </c>
      <c r="B26" s="3" t="n">
        <v>13000</v>
      </c>
      <c r="C26" s="4">
        <f>IMAGE("https://tse1.mm.bing.net/th?q=Sachtler%20Video%2018%20S2%20Fluid%20Head%20%26%20ENG%202%20CF%20Tripod%20System%20with%20Mid-Level%20Spreader", "Sachtler Video 18 S2 Fluid Head &amp; ENG 2 CF Tripod System with Mid-Level Spreader", 3, 120, 120)</f>
        <v/>
      </c>
      <c r="D26" s="2" t="inlineStr">
        <is>
          <t>https://tse1.mm.bing.net/th?q=Sachtler%20Video%2018%20S2%20Fluid%20Head%20%26%20ENG%202%20CF%20Tripod%20System%20with%20Mid-Level%20Spreader</t>
        </is>
      </c>
      <c r="E26" s="2" t="inlineStr">
        <is>
          <t>https://gripsfilmsrentals.com/product/sachtler-video-18-s2-fluid-head--eng-2-cf-tripod-system-with-mid-level-spreader/</t>
        </is>
      </c>
      <c r="F26" s="2" t="inlineStr">
        <is>
          <t>https://gripsfilmsrentals.com/shop/</t>
        </is>
      </c>
      <c r="G26" s="8" t="inlineStr">
        <is>
          <t>Stands</t>
        </is>
      </c>
      <c r="H26" s="8" t="inlineStr">
        <is>
          <t>Stand / Support</t>
        </is>
      </c>
      <c r="I26" s="8" t="inlineStr">
        <is>
          <t>Sachtler</t>
        </is>
      </c>
      <c r="J26" s="9" t="inlineStr"/>
    </row>
    <row r="27" ht="125" customHeight="1">
      <c r="A27" s="2" t="inlineStr">
        <is>
          <t>Sachtler aktiv8T flowtech75 MS Tripod System</t>
        </is>
      </c>
      <c r="B27" s="3" t="n">
        <v>7500</v>
      </c>
      <c r="C27" s="4">
        <f>IMAGE("https://tse1.mm.bing.net/th?q=Sachtler%20aktiv8T%20flowtech75%20MS%20Tripod%20System", "Sachtler aktiv8T flowtech75 MS Tripod System", 3, 120, 120)</f>
        <v/>
      </c>
      <c r="D27" s="2" t="inlineStr">
        <is>
          <t>https://tse1.mm.bing.net/th?q=Sachtler%20aktiv8T%20flowtech75%20MS%20Tripod%20System</t>
        </is>
      </c>
      <c r="E27" s="2" t="inlineStr">
        <is>
          <t>https://gripsfilmsrentals.com/product/sachtler-aktiv8t-flowtech75-ms-tripod-system/</t>
        </is>
      </c>
      <c r="F27" s="2" t="inlineStr">
        <is>
          <t>https://gripsfilmsrentals.com/shop/</t>
        </is>
      </c>
      <c r="G27" s="8" t="inlineStr">
        <is>
          <t>Stands</t>
        </is>
      </c>
      <c r="H27" s="8" t="inlineStr">
        <is>
          <t>Stand / Support</t>
        </is>
      </c>
      <c r="I27" s="8" t="inlineStr">
        <is>
          <t>Sachtler</t>
        </is>
      </c>
      <c r="J27" s="9" t="inlineStr"/>
    </row>
    <row r="28" ht="125" customHeight="1">
      <c r="A28" s="2" t="inlineStr">
        <is>
          <t>Tilta Nucleus Nano II FIZ Wireless Lens Control System</t>
        </is>
      </c>
      <c r="B28" s="3" t="n">
        <v>4000</v>
      </c>
      <c r="C28" s="4">
        <f>IMAGE("https://tse1.mm.bing.net/th?q=Tilta%20Nucleus%20Nano%20II%20FIZ%20Wireless%20Lens%20Control%20System", "Tilta Nucleus Nano II FIZ Wireless Lens Control System", 3, 120, 120)</f>
        <v/>
      </c>
      <c r="D28" s="2" t="inlineStr">
        <is>
          <t>https://tse1.mm.bing.net/th?q=Tilta%20Nucleus%20Nano%20II%20FIZ%20Wireless%20Lens%20Control%20System</t>
        </is>
      </c>
      <c r="E28" s="2" t="inlineStr">
        <is>
          <t>https://gripsfilmsrentals.com/product/tilta-nucleus-nano-ii-fiz-wireless-lens-control-system/</t>
        </is>
      </c>
      <c r="F28" s="2" t="inlineStr">
        <is>
          <t>https://gripsfilmsrentals.com/shop/</t>
        </is>
      </c>
      <c r="G28" s="8" t="inlineStr">
        <is>
          <t>Focus Pulling Systems</t>
        </is>
      </c>
      <c r="H28" s="8" t="inlineStr">
        <is>
          <t>Focus Pulling</t>
        </is>
      </c>
      <c r="I28" s="8" t="inlineStr">
        <is>
          <t>Tilta</t>
        </is>
      </c>
      <c r="J28" s="9" t="inlineStr">
        <is>
          <t>Wireless</t>
        </is>
      </c>
    </row>
    <row r="29" ht="125" customHeight="1">
      <c r="A29" s="2" t="inlineStr">
        <is>
          <t>SmallRig x Potato Jet TRIBEX Hydraulic Carbon Fiber Tripod Kit</t>
        </is>
      </c>
      <c r="B29" s="3" t="n">
        <v>2000</v>
      </c>
      <c r="C29" s="4">
        <f>IMAGE("https://tse1.mm.bing.net/th?q=SmallRig%20x%20Potato%20Jet%20TRIBEX%20Hydraulic%20Carbon%20Fiber%20Tripod%20Kit", "SmallRig x Potato Jet TRIBEX Hydraulic Carbon Fiber Tripod Kit", 3, 120, 120)</f>
        <v/>
      </c>
      <c r="D29" s="2" t="inlineStr">
        <is>
          <t>https://tse1.mm.bing.net/th?q=SmallRig%20x%20Potato%20Jet%20TRIBEX%20Hydraulic%20Carbon%20Fiber%20Tripod%20Kit</t>
        </is>
      </c>
      <c r="E29" s="2" t="inlineStr">
        <is>
          <t>https://gripsfilmsrentals.com/product/smallrig-x-potato-jet-tribex-hydraulic-carbon-fiber-tripod-kit/</t>
        </is>
      </c>
      <c r="F29" s="2" t="inlineStr">
        <is>
          <t>https://gripsfilmsrentals.com/shop/</t>
        </is>
      </c>
      <c r="G29" s="8" t="inlineStr">
        <is>
          <t>Stands</t>
        </is>
      </c>
      <c r="H29" s="8" t="inlineStr">
        <is>
          <t>Stand / Support</t>
        </is>
      </c>
      <c r="I29" s="8" t="inlineStr">
        <is>
          <t>SmallRig</t>
        </is>
      </c>
      <c r="J29" s="9" t="inlineStr"/>
    </row>
    <row r="30" ht="125" customHeight="1">
      <c r="A30" s="2" t="inlineStr">
        <is>
          <t>Falcon Eyes 24W F7 Fold Pockelite RGB</t>
        </is>
      </c>
      <c r="B30" s="3" t="n">
        <v>1500</v>
      </c>
      <c r="C30" s="4">
        <f>IMAGE("https://tse1.mm.bing.net/th?q=Falcon%20Eyes%2024W%20F7%20Fold%20Pockelite%20RGB", "Falcon Eyes 24W F7 Fold Pockelite RGB", 3, 120, 120)</f>
        <v/>
      </c>
      <c r="D30" s="2" t="inlineStr">
        <is>
          <t>https://tse1.mm.bing.net/th?q=Falcon%20Eyes%2024W%20F7%20Fold%20Pockelite%20RGB</t>
        </is>
      </c>
      <c r="E30" s="2" t="inlineStr">
        <is>
          <t>https://gripsfilmsrentals.com/product/falcon-eyes-24w-f7-fold-pockelite-rgb/</t>
        </is>
      </c>
      <c r="F30" s="2" t="inlineStr">
        <is>
          <t>https://gripsfilmsrentals.com/shop/</t>
        </is>
      </c>
      <c r="G30" s="8" t="inlineStr">
        <is>
          <t>Lights</t>
        </is>
      </c>
      <c r="H30" s="8" t="inlineStr">
        <is>
          <t>Continous lights</t>
        </is>
      </c>
      <c r="I30" s="8" t="inlineStr">
        <is>
          <t>Falcon Eyes</t>
        </is>
      </c>
      <c r="J30" s="9" t="inlineStr">
        <is>
          <t>24W, RGB</t>
        </is>
      </c>
    </row>
    <row r="31" ht="125" customHeight="1">
      <c r="A31" s="2" t="inlineStr">
        <is>
          <t>Manfrotto Extra Large Pro Scrim All-in-One Kit 12×12</t>
        </is>
      </c>
      <c r="B31" s="3" t="n">
        <v>9000</v>
      </c>
      <c r="C31" s="4">
        <f>IMAGE("https://tse1.mm.bing.net/th?q=Manfrotto%20Extra%20Large%20Pro%20Scrim%20All-in-One%20Kit%2012%C3%9712", "Manfrotto Extra Large Pro Scrim All-in-One Kit 12×12", 3, 120, 120)</f>
        <v/>
      </c>
      <c r="D31" s="2" t="inlineStr">
        <is>
          <t>https://tse1.mm.bing.net/th?q=Manfrotto%20Extra%20Large%20Pro%20Scrim%20All-in-One%20Kit%2012%C3%9712</t>
        </is>
      </c>
      <c r="E31" s="2" t="inlineStr">
        <is>
          <t>https://gripsfilmsrentals.com/product/manfrotto-extra-large-pro-scrim-all-in-one-kit-12-12/</t>
        </is>
      </c>
      <c r="F31" s="2" t="inlineStr">
        <is>
          <t>https://gripsfilmsrentals.com/shop/</t>
        </is>
      </c>
      <c r="G31" s="8" t="inlineStr">
        <is>
          <t>Modifiers</t>
        </is>
      </c>
      <c r="H31" s="8" t="inlineStr">
        <is>
          <t>Light Modifier</t>
        </is>
      </c>
      <c r="I31" s="8" t="inlineStr">
        <is>
          <t>Manfrotto</t>
        </is>
      </c>
      <c r="J31" s="9" t="inlineStr"/>
    </row>
    <row r="32" ht="125" customHeight="1">
      <c r="A32" s="2" t="inlineStr">
        <is>
          <t>Manfrotto Extra Large Pro Scrim All-in-One Kit 9×9</t>
        </is>
      </c>
      <c r="B32" s="3" t="n">
        <v>8000</v>
      </c>
      <c r="C32" s="4">
        <f>IMAGE("https://tse1.mm.bing.net/th?q=Manfrotto%20Extra%20Large%20Pro%20Scrim%20All-in-One%20Kit%209%C3%979", "Manfrotto Extra Large Pro Scrim All-in-One Kit 9×9", 3, 120, 120)</f>
        <v/>
      </c>
      <c r="D32" s="2" t="inlineStr">
        <is>
          <t>https://tse1.mm.bing.net/th?q=Manfrotto%20Extra%20Large%20Pro%20Scrim%20All-in-One%20Kit%209%C3%979</t>
        </is>
      </c>
      <c r="E32" s="2" t="inlineStr">
        <is>
          <t>https://gripsfilmsrentals.com/product/manfrotto-extra-large-pro-scrim-all-in-one-kit-9-9/</t>
        </is>
      </c>
      <c r="F32" s="2" t="inlineStr">
        <is>
          <t>https://gripsfilmsrentals.com/shop/</t>
        </is>
      </c>
      <c r="G32" s="8" t="inlineStr">
        <is>
          <t>Modifiers</t>
        </is>
      </c>
      <c r="H32" s="8" t="inlineStr">
        <is>
          <t>Light Modifier</t>
        </is>
      </c>
      <c r="I32" s="8" t="inlineStr">
        <is>
          <t>Manfrotto</t>
        </is>
      </c>
      <c r="J32" s="9" t="inlineStr"/>
    </row>
    <row r="33" ht="125" customHeight="1">
      <c r="A33" s="2" t="inlineStr">
        <is>
          <t>Manfrotto Extra Large Pro Scrim All-in-One Kit 8×8</t>
        </is>
      </c>
      <c r="B33" s="3" t="n">
        <v>7000</v>
      </c>
      <c r="C33" s="4">
        <f>IMAGE("https://tse1.mm.bing.net/th?q=Manfrotto%20Extra%20Large%20Pro%20Scrim%20All-in-One%20Kit%208%C3%978", "Manfrotto Extra Large Pro Scrim All-in-One Kit 8×8", 3, 120, 120)</f>
        <v/>
      </c>
      <c r="D33" s="2" t="inlineStr">
        <is>
          <t>https://tse1.mm.bing.net/th?q=Manfrotto%20Extra%20Large%20Pro%20Scrim%20All-in-One%20Kit%208%C3%978</t>
        </is>
      </c>
      <c r="E33" s="2" t="inlineStr">
        <is>
          <t>https://gripsfilmsrentals.com/product/manfrotto-extra-large-pro-scrim-all-in-one-kit-8-8/</t>
        </is>
      </c>
      <c r="F33" s="2" t="inlineStr">
        <is>
          <t>https://gripsfilmsrentals.com/shop/</t>
        </is>
      </c>
      <c r="G33" s="8" t="inlineStr">
        <is>
          <t>Modifiers</t>
        </is>
      </c>
      <c r="H33" s="8" t="inlineStr">
        <is>
          <t>Light Modifier</t>
        </is>
      </c>
      <c r="I33" s="8" t="inlineStr">
        <is>
          <t>Manfrotto</t>
        </is>
      </c>
      <c r="J33" s="9" t="inlineStr"/>
    </row>
    <row r="34" ht="125" customHeight="1">
      <c r="A34" s="2" t="inlineStr">
        <is>
          <t>Manfrotto Extra Large Pro Scrim All-in-One Kit 6×6</t>
        </is>
      </c>
      <c r="B34" s="3" t="n">
        <v>6000</v>
      </c>
      <c r="C34" s="4">
        <f>IMAGE("https://tse1.mm.bing.net/th?q=Manfrotto%20Extra%20Large%20Pro%20Scrim%20All-in-One%20Kit%206%C3%976", "Manfrotto Extra Large Pro Scrim All-in-One Kit 6×6", 3, 120, 120)</f>
        <v/>
      </c>
      <c r="D34" s="2" t="inlineStr">
        <is>
          <t>https://tse1.mm.bing.net/th?q=Manfrotto%20Extra%20Large%20Pro%20Scrim%20All-in-One%20Kit%206%C3%976</t>
        </is>
      </c>
      <c r="E34" s="2" t="inlineStr">
        <is>
          <t>https://gripsfilmsrentals.com/product/manfrotto-extra-large-pro-scrim-all-in-one-kit-6-6/</t>
        </is>
      </c>
      <c r="F34" s="2" t="inlineStr">
        <is>
          <t>https://gripsfilmsrentals.com/shop/</t>
        </is>
      </c>
      <c r="G34" s="8" t="inlineStr">
        <is>
          <t>Modifiers</t>
        </is>
      </c>
      <c r="H34" s="8" t="inlineStr">
        <is>
          <t>Light Modifier</t>
        </is>
      </c>
      <c r="I34" s="8" t="inlineStr">
        <is>
          <t>Manfrotto</t>
        </is>
      </c>
      <c r="J34" s="9" t="inlineStr"/>
    </row>
    <row r="35" ht="125" customHeight="1">
      <c r="A35" s="2" t="inlineStr">
        <is>
          <t>Manfrotto Extra Large Pro Scrim All-in-One Kit 4×4</t>
        </is>
      </c>
      <c r="B35" s="3" t="n">
        <v>4000</v>
      </c>
      <c r="C35" s="4">
        <f>IMAGE("https://tse1.mm.bing.net/th?q=Manfrotto%20Extra%20Large%20Pro%20Scrim%20All-in-One%20Kit%204%C3%974", "Manfrotto Extra Large Pro Scrim All-in-One Kit 4×4", 3, 120, 120)</f>
        <v/>
      </c>
      <c r="D35" s="2" t="inlineStr">
        <is>
          <t>https://tse1.mm.bing.net/th?q=Manfrotto%20Extra%20Large%20Pro%20Scrim%20All-in-One%20Kit%204%C3%974</t>
        </is>
      </c>
      <c r="E35" s="2" t="inlineStr">
        <is>
          <t>https://gripsfilmsrentals.com/product/manfrotto-extra-large-pro-scrim-all-in-one-kit-4-4/</t>
        </is>
      </c>
      <c r="F35" s="2" t="inlineStr">
        <is>
          <t>https://gripsfilmsrentals.com/shop/</t>
        </is>
      </c>
      <c r="G35" s="8" t="inlineStr">
        <is>
          <t>Modifiers</t>
        </is>
      </c>
      <c r="H35" s="8" t="inlineStr">
        <is>
          <t>Light Modifier</t>
        </is>
      </c>
      <c r="I35" s="8" t="inlineStr">
        <is>
          <t>Manfrotto</t>
        </is>
      </c>
      <c r="J35" s="9" t="inlineStr"/>
    </row>
    <row r="36" ht="125" customHeight="1">
      <c r="A36" s="2" t="inlineStr">
        <is>
          <t>Canon RF 35mm f/1.4</t>
        </is>
      </c>
      <c r="B36" s="3" t="n">
        <v>2000</v>
      </c>
      <c r="C36" s="4">
        <f>IMAGE("https://tse1.mm.bing.net/th?q=Canon%20RF%2035mm%20f/1.4", "Canon RF 35mm f/1.4", 3, 120, 120)</f>
        <v/>
      </c>
      <c r="D36" s="2" t="inlineStr">
        <is>
          <t>https://tse1.mm.bing.net/th?q=Canon%20RF%2035mm%20f/1.4</t>
        </is>
      </c>
      <c r="E36" s="2" t="inlineStr">
        <is>
          <t>https://gripsfilmsrentals.com/product/canon-rf-35mm-f-1-4/</t>
        </is>
      </c>
      <c r="F36" s="2" t="inlineStr">
        <is>
          <t>https://gripsfilmsrentals.com/shop/</t>
        </is>
      </c>
      <c r="G36" s="8" t="inlineStr">
        <is>
          <t>Lenses</t>
        </is>
      </c>
      <c r="H36" s="8" t="inlineStr">
        <is>
          <t>Canon</t>
        </is>
      </c>
      <c r="I36" s="8" t="inlineStr">
        <is>
          <t>Canon</t>
        </is>
      </c>
      <c r="J36" s="9" t="inlineStr">
        <is>
          <t>f/1.4, 35mm, Canon RF</t>
        </is>
      </c>
    </row>
    <row r="37" ht="125" customHeight="1">
      <c r="A37" s="2" t="inlineStr">
        <is>
          <t>RODE RODECaster Video All-in-One Production Console</t>
        </is>
      </c>
      <c r="B37" s="3" t="n">
        <v>7000</v>
      </c>
      <c r="C37" s="4">
        <f>IMAGE("https://tse1.mm.bing.net/th?q=RODE%20RODECaster%20Video%20All-in-One%20Production%20Console", "RODE RODECaster Video All-in-One Production Console", 3, 120, 120)</f>
        <v/>
      </c>
      <c r="D37" s="2" t="inlineStr">
        <is>
          <t>https://tse1.mm.bing.net/th?q=RODE%20RODECaster%20Video%20All-in-One%20Production%20Console</t>
        </is>
      </c>
      <c r="E37" s="2" t="inlineStr">
        <is>
          <t>https://gripsfilmsrentals.com/product/rode-rodecaster-video-all-in-one-production-console/</t>
        </is>
      </c>
      <c r="F37" s="2" t="inlineStr">
        <is>
          <t>https://gripsfilmsrentals.com/shop/</t>
        </is>
      </c>
      <c r="G37" s="8" t="inlineStr">
        <is>
          <t>Sound</t>
        </is>
      </c>
      <c r="H37" s="8" t="inlineStr">
        <is>
          <t>Microphone</t>
        </is>
      </c>
      <c r="I37" s="8" t="inlineStr">
        <is>
          <t>RODE</t>
        </is>
      </c>
      <c r="J37" s="9" t="inlineStr"/>
    </row>
    <row r="38" ht="125" customHeight="1">
      <c r="A38" s="2" t="inlineStr">
        <is>
          <t>Sigma 28-45mm f/1.8 DG DN Art Lens (Sony E)</t>
        </is>
      </c>
      <c r="B38" s="3" t="n">
        <v>2000</v>
      </c>
      <c r="C38" s="4">
        <f>IMAGE("https://tse1.mm.bing.net/th?q=Sigma%2028-45mm%20f/1.8%20DG%20DN%20Art%20Lens%20%28Sony%20E%29", "Sigma 28-45mm f/1.8 DG DN Art Lens (Sony E)", 3, 120, 120)</f>
        <v/>
      </c>
      <c r="D38" s="2" t="inlineStr">
        <is>
          <t>https://tse1.mm.bing.net/th?q=Sigma%2028-45mm%20f/1.8%20DG%20DN%20Art%20Lens%20%28Sony%20E%29</t>
        </is>
      </c>
      <c r="E38" s="2" t="inlineStr">
        <is>
          <t>https://gripsfilmsrentals.com/product/sigma-28-45mm-f-1-8-dg-dn-art-lens-sony-e/</t>
        </is>
      </c>
      <c r="F38" s="2" t="inlineStr">
        <is>
          <t>https://gripsfilmsrentals.com/shop/</t>
        </is>
      </c>
      <c r="G38" s="8" t="inlineStr">
        <is>
          <t>Lenses</t>
        </is>
      </c>
      <c r="H38" s="8" t="inlineStr">
        <is>
          <t>Sony</t>
        </is>
      </c>
      <c r="I38" s="8" t="inlineStr">
        <is>
          <t>Sony</t>
        </is>
      </c>
      <c r="J38" s="9" t="inlineStr">
        <is>
          <t>f/1.8, 28-45mm, Sony E</t>
        </is>
      </c>
    </row>
    <row r="39" ht="125" customHeight="1">
      <c r="A39" s="2" t="inlineStr">
        <is>
          <t>Sigma 28-105mm f/2.8 DG DN Art Lens (Sony E)</t>
        </is>
      </c>
      <c r="B39" s="3" t="n">
        <v>2500</v>
      </c>
      <c r="C39" s="4">
        <f>IMAGE("https://tse1.mm.bing.net/th?q=Sigma%2028-105mm%20f/2.8%20DG%20DN%20Art%20Lens%20%28Sony%20E%29", "Sigma 28-105mm f/2.8 DG DN Art Lens (Sony E)", 3, 120, 120)</f>
        <v/>
      </c>
      <c r="D39" s="2" t="inlineStr">
        <is>
          <t>https://tse1.mm.bing.net/th?q=Sigma%2028-105mm%20f/2.8%20DG%20DN%20Art%20Lens%20%28Sony%20E%29</t>
        </is>
      </c>
      <c r="E39" s="2" t="inlineStr">
        <is>
          <t>https://gripsfilmsrentals.com/product/sigma-28-105mm-f-2-8-dg-dn-art-lens-sony-e/</t>
        </is>
      </c>
      <c r="F39" s="2" t="inlineStr">
        <is>
          <t>https://gripsfilmsrentals.com/shop/</t>
        </is>
      </c>
      <c r="G39" s="8" t="inlineStr">
        <is>
          <t>Lenses</t>
        </is>
      </c>
      <c r="H39" s="8" t="inlineStr">
        <is>
          <t>Sony</t>
        </is>
      </c>
      <c r="I39" s="8" t="inlineStr">
        <is>
          <t>Sony</t>
        </is>
      </c>
      <c r="J39" s="9" t="inlineStr">
        <is>
          <t>f/2.8, 28-105mm, Sony E</t>
        </is>
      </c>
    </row>
    <row r="40" ht="125" customHeight="1">
      <c r="A40" s="2" t="inlineStr">
        <is>
          <t>Sony FE 24-105mm f/4 G OSS Lens</t>
        </is>
      </c>
      <c r="B40" s="3" t="n">
        <v>2000</v>
      </c>
      <c r="C40" s="4">
        <f>IMAGE("https://tse1.mm.bing.net/th?q=Sony%20FE%2024-105mm%20f/4%20G%20OSS%20Lens", "Sony FE 24-105mm f/4 G OSS Lens", 3, 120, 120)</f>
        <v/>
      </c>
      <c r="D40" s="2" t="inlineStr">
        <is>
          <t>https://tse1.mm.bing.net/th?q=Sony%20FE%2024-105mm%20f/4%20G%20OSS%20Lens</t>
        </is>
      </c>
      <c r="E40" s="2" t="inlineStr">
        <is>
          <t>https://gripsfilmsrentals.com/product/sony-fe-24-105mm-f-4-g-oss-lens/</t>
        </is>
      </c>
      <c r="F40" s="2" t="inlineStr">
        <is>
          <t>https://gripsfilmsrentals.com/shop/</t>
        </is>
      </c>
      <c r="G40" s="8" t="inlineStr">
        <is>
          <t>Lenses</t>
        </is>
      </c>
      <c r="H40" s="8" t="inlineStr">
        <is>
          <t>Sony</t>
        </is>
      </c>
      <c r="I40" s="8" t="inlineStr">
        <is>
          <t>Sony</t>
        </is>
      </c>
      <c r="J40" s="9" t="inlineStr">
        <is>
          <t>f/4, 24-105mm</t>
        </is>
      </c>
    </row>
    <row r="41" ht="125" customHeight="1">
      <c r="A41" s="2" t="inlineStr">
        <is>
          <t>Sony FE 12-24mm f/2.8 GM Lens</t>
        </is>
      </c>
      <c r="B41" s="3" t="n">
        <v>2500</v>
      </c>
      <c r="C41" s="4">
        <f>IMAGE("https://tse1.mm.bing.net/th?q=Sony%20FE%2012-24mm%20f/2.8%20GM%20Lens", "Sony FE 12-24mm f/2.8 GM Lens", 3, 120, 120)</f>
        <v/>
      </c>
      <c r="D41" s="2" t="inlineStr">
        <is>
          <t>https://tse1.mm.bing.net/th?q=Sony%20FE%2012-24mm%20f/2.8%20GM%20Lens</t>
        </is>
      </c>
      <c r="E41" s="2" t="inlineStr">
        <is>
          <t>https://gripsfilmsrentals.com/product/sony-fe-12-24mm-f-2-8-gm-lens/</t>
        </is>
      </c>
      <c r="F41" s="2" t="inlineStr">
        <is>
          <t>https://gripsfilmsrentals.com/shop/</t>
        </is>
      </c>
      <c r="G41" s="8" t="inlineStr">
        <is>
          <t>Lenses</t>
        </is>
      </c>
      <c r="H41" s="8" t="inlineStr">
        <is>
          <t>Sony</t>
        </is>
      </c>
      <c r="I41" s="8" t="inlineStr">
        <is>
          <t>Sony</t>
        </is>
      </c>
      <c r="J41" s="9" t="inlineStr">
        <is>
          <t>f/2.8, 12-24mm</t>
        </is>
      </c>
    </row>
    <row r="42" ht="125" customHeight="1">
      <c r="A42" s="2" t="inlineStr">
        <is>
          <t>Sony FE 90mm f/2.8 Macro G OSS Lens</t>
        </is>
      </c>
      <c r="B42" s="3" t="n">
        <v>2000</v>
      </c>
      <c r="C42" s="4">
        <f>IMAGE("https://tse1.mm.bing.net/th?q=Sony%20FE%2090mm%20f/2.8%20Macro%20G%20OSS%20Lens", "Sony FE 90mm f/2.8 Macro G OSS Lens", 3, 120, 120)</f>
        <v/>
      </c>
      <c r="D42" s="2" t="inlineStr">
        <is>
          <t>https://tse1.mm.bing.net/th?q=Sony%20FE%2090mm%20f/2.8%20Macro%20G%20OSS%20Lens</t>
        </is>
      </c>
      <c r="E42" s="2" t="inlineStr">
        <is>
          <t>https://gripsfilmsrentals.com/product/sony-fe-90mm-f-2-8-macro-g-oss-lens/</t>
        </is>
      </c>
      <c r="F42" s="2" t="inlineStr">
        <is>
          <t>https://gripsfilmsrentals.com/shop/</t>
        </is>
      </c>
      <c r="G42" s="8" t="inlineStr">
        <is>
          <t>Lenses</t>
        </is>
      </c>
      <c r="H42" s="8" t="inlineStr">
        <is>
          <t>Sony</t>
        </is>
      </c>
      <c r="I42" s="8" t="inlineStr">
        <is>
          <t>Sony</t>
        </is>
      </c>
      <c r="J42" s="9" t="inlineStr">
        <is>
          <t>f/2.8, 90mm, Macro</t>
        </is>
      </c>
    </row>
    <row r="43" ht="125" customHeight="1">
      <c r="A43" s="2" t="inlineStr">
        <is>
          <t>Sony FE 135mm f/1.8 GM Lens</t>
        </is>
      </c>
      <c r="B43" s="3" t="n">
        <v>2000</v>
      </c>
      <c r="C43" s="4">
        <f>IMAGE("https://tse1.mm.bing.net/th?q=Sony%20FE%20135mm%20f/1.8%20GM%20Lens", "Sony FE 135mm f/1.8 GM Lens", 3, 120, 120)</f>
        <v/>
      </c>
      <c r="D43" s="2" t="inlineStr">
        <is>
          <t>https://tse1.mm.bing.net/th?q=Sony%20FE%20135mm%20f/1.8%20GM%20Lens</t>
        </is>
      </c>
      <c r="E43" s="2" t="inlineStr">
        <is>
          <t>https://gripsfilmsrentals.com/product/sony-fe-135mm-f-1-8-gm-lens/</t>
        </is>
      </c>
      <c r="F43" s="2" t="inlineStr">
        <is>
          <t>https://gripsfilmsrentals.com/shop/</t>
        </is>
      </c>
      <c r="G43" s="8" t="inlineStr">
        <is>
          <t>Lenses</t>
        </is>
      </c>
      <c r="H43" s="8" t="inlineStr">
        <is>
          <t>Sony</t>
        </is>
      </c>
      <c r="I43" s="8" t="inlineStr">
        <is>
          <t>Sony</t>
        </is>
      </c>
      <c r="J43" s="9" t="inlineStr">
        <is>
          <t>f/1.8, 135mm</t>
        </is>
      </c>
    </row>
    <row r="44" ht="125" customHeight="1">
      <c r="A44" s="2" t="inlineStr">
        <is>
          <t>Sony FE 35mm f/1.4 GM Lens</t>
        </is>
      </c>
      <c r="B44" s="3" t="n">
        <v>2000</v>
      </c>
      <c r="C44" s="4">
        <f>IMAGE("https://tse1.mm.bing.net/th?q=Sony%20FE%2035mm%20f/1.4%20GM%20Lens", "Sony FE 35mm f/1.4 GM Lens", 3, 120, 120)</f>
        <v/>
      </c>
      <c r="D44" s="2" t="inlineStr">
        <is>
          <t>https://tse1.mm.bing.net/th?q=Sony%20FE%2035mm%20f/1.4%20GM%20Lens</t>
        </is>
      </c>
      <c r="E44" s="2" t="inlineStr">
        <is>
          <t>https://gripsfilmsrentals.com/product/sony-fe-35mm-f-1-4-gm-lens/</t>
        </is>
      </c>
      <c r="F44" s="2" t="inlineStr">
        <is>
          <t>https://gripsfilmsrentals.com/shop/</t>
        </is>
      </c>
      <c r="G44" s="8" t="inlineStr">
        <is>
          <t>Lenses</t>
        </is>
      </c>
      <c r="H44" s="8" t="inlineStr">
        <is>
          <t>Sony</t>
        </is>
      </c>
      <c r="I44" s="8" t="inlineStr">
        <is>
          <t>Sony</t>
        </is>
      </c>
      <c r="J44" s="9" t="inlineStr">
        <is>
          <t>f/1.4, 35mm</t>
        </is>
      </c>
    </row>
    <row r="45" ht="125" customHeight="1">
      <c r="A45" s="2" t="inlineStr">
        <is>
          <t>Nikon NIKKOR Z 135mm f/1.8 S Plena Lens</t>
        </is>
      </c>
      <c r="B45" s="3" t="n">
        <v>2500</v>
      </c>
      <c r="C45" s="4">
        <f>IMAGE("https://tse1.mm.bing.net/th?q=Nikon%20NIKKOR%20Z%20135mm%20f/1.8%20S%20Plena%20Lens", "Nikon NIKKOR Z 135mm f/1.8 S Plena Lens", 3, 120, 120)</f>
        <v/>
      </c>
      <c r="D45" s="2" t="inlineStr">
        <is>
          <t>https://tse1.mm.bing.net/th?q=Nikon%20NIKKOR%20Z%20135mm%20f/1.8%20S%20Plena%20Lens</t>
        </is>
      </c>
      <c r="E45" s="2" t="inlineStr">
        <is>
          <t>https://gripsfilmsrentals.com/product/nikon-nikkor-z-135mm-f-1-8-s-plena-lens/</t>
        </is>
      </c>
      <c r="F45" s="2" t="inlineStr">
        <is>
          <t>https://gripsfilmsrentals.com/shop/</t>
        </is>
      </c>
      <c r="G45" s="8" t="inlineStr">
        <is>
          <t>Lenses</t>
        </is>
      </c>
      <c r="H45" s="8" t="inlineStr">
        <is>
          <t>Nikon</t>
        </is>
      </c>
      <c r="I45" s="8" t="inlineStr">
        <is>
          <t>Nikon</t>
        </is>
      </c>
      <c r="J45" s="9" t="inlineStr">
        <is>
          <t>f/1.8, 135mm</t>
        </is>
      </c>
    </row>
    <row r="46" ht="125" customHeight="1">
      <c r="A46" s="2" t="inlineStr">
        <is>
          <t>Nikon NIKKOR Z 85mm f/1.2 S Lens (Nikon Z)</t>
        </is>
      </c>
      <c r="B46" s="3" t="n">
        <v>2500</v>
      </c>
      <c r="C46" s="4">
        <f>IMAGE("https://tse1.mm.bing.net/th?q=Nikon%20NIKKOR%20Z%2085mm%20f/1.2%20S%20Lens%20%28Nikon%20Z%29", "Nikon NIKKOR Z 85mm f/1.2 S Lens (Nikon Z)", 3, 120, 120)</f>
        <v/>
      </c>
      <c r="D46" s="2" t="inlineStr">
        <is>
          <t>https://tse1.mm.bing.net/th?q=Nikon%20NIKKOR%20Z%2085mm%20f/1.2%20S%20Lens%20%28Nikon%20Z%29</t>
        </is>
      </c>
      <c r="E46" s="2" t="inlineStr">
        <is>
          <t>https://gripsfilmsrentals.com/product/nikon-nikkor-z-85mm-f-1-2-s-lens-nikon-z/</t>
        </is>
      </c>
      <c r="F46" s="2" t="inlineStr">
        <is>
          <t>https://gripsfilmsrentals.com/shop/</t>
        </is>
      </c>
      <c r="G46" s="8" t="inlineStr">
        <is>
          <t>Lenses</t>
        </is>
      </c>
      <c r="H46" s="8" t="inlineStr">
        <is>
          <t>Nikon</t>
        </is>
      </c>
      <c r="I46" s="8" t="inlineStr">
        <is>
          <t>Nikon</t>
        </is>
      </c>
      <c r="J46" s="9" t="inlineStr">
        <is>
          <t>f/1.2, 85mm, Nikon Z</t>
        </is>
      </c>
    </row>
    <row r="47" ht="125" customHeight="1">
      <c r="A47" s="2" t="inlineStr">
        <is>
          <t>Manfrotto 502AH Video Head</t>
        </is>
      </c>
      <c r="B47" s="3" t="n">
        <v>2500</v>
      </c>
      <c r="C47" s="4">
        <f>IMAGE("https://tse1.mm.bing.net/th?q=Manfrotto%20502AH%20Video%20Head", "Manfrotto 502AH Video Head", 3, 120, 120)</f>
        <v/>
      </c>
      <c r="D47" s="2" t="inlineStr">
        <is>
          <t>https://tse1.mm.bing.net/th?q=Manfrotto%20502AH%20Video%20Head</t>
        </is>
      </c>
      <c r="E47" s="2" t="inlineStr">
        <is>
          <t>https://gripsfilmsrentals.com/product/manfrotto-502ah-video-head/</t>
        </is>
      </c>
      <c r="F47" s="2" t="inlineStr">
        <is>
          <t>https://gripsfilmsrentals.com/shop/</t>
        </is>
      </c>
      <c r="G47" s="8" t="inlineStr">
        <is>
          <t>Photography / Video Accessories</t>
        </is>
      </c>
      <c r="H47" s="8" t="inlineStr">
        <is>
          <t>Accessory</t>
        </is>
      </c>
      <c r="I47" s="8" t="inlineStr">
        <is>
          <t>Manfrotto</t>
        </is>
      </c>
      <c r="J47" s="9" t="inlineStr"/>
    </row>
    <row r="48" ht="125" customHeight="1">
      <c r="A48" s="2" t="inlineStr">
        <is>
          <t>Manfrotto 504X Fluid Video Head</t>
        </is>
      </c>
      <c r="B48" s="3" t="n">
        <v>2500</v>
      </c>
      <c r="C48" s="4">
        <f>IMAGE("https://tse1.mm.bing.net/th?q=Manfrotto%20504X%20Fluid%20Video%20Head", "Manfrotto 504X Fluid Video Head", 3, 120, 120)</f>
        <v/>
      </c>
      <c r="D48" s="2" t="inlineStr">
        <is>
          <t>https://tse1.mm.bing.net/th?q=Manfrotto%20504X%20Fluid%20Video%20Head</t>
        </is>
      </c>
      <c r="E48" s="2" t="inlineStr">
        <is>
          <t>https://gripsfilmsrentals.com/product/manfrotto-504x-fluid-video-head/</t>
        </is>
      </c>
      <c r="F48" s="2" t="inlineStr">
        <is>
          <t>https://gripsfilmsrentals.com/shop/</t>
        </is>
      </c>
      <c r="G48" s="8" t="inlineStr">
        <is>
          <t>Photography / Video Accessories</t>
        </is>
      </c>
      <c r="H48" s="8" t="inlineStr">
        <is>
          <t>Accessory</t>
        </is>
      </c>
      <c r="I48" s="8" t="inlineStr">
        <is>
          <t>Manfrotto</t>
        </is>
      </c>
      <c r="J48" s="9" t="inlineStr">
        <is>
          <t>504X</t>
        </is>
      </c>
    </row>
    <row r="49" ht="125" customHeight="1">
      <c r="A49" s="2" t="inlineStr">
        <is>
          <t>ARRI ALEXA MINI</t>
        </is>
      </c>
      <c r="B49" s="3" t="n">
        <v>20000</v>
      </c>
      <c r="C49" s="4">
        <f>IMAGE("https://tse1.mm.bing.net/th?q=ARRI%20ALEXA%20MINI", "ARRI ALEXA MINI", 3, 120, 120)</f>
        <v/>
      </c>
      <c r="D49" s="2" t="inlineStr">
        <is>
          <t>https://tse1.mm.bing.net/th?q=ARRI%20ALEXA%20MINI</t>
        </is>
      </c>
      <c r="E49" s="2" t="inlineStr">
        <is>
          <t>https://gripsfilmsrentals.com/product/arri-alexa-mini/</t>
        </is>
      </c>
      <c r="F49" s="2" t="inlineStr">
        <is>
          <t>https://gripsfilmsrentals.com/shop/</t>
        </is>
      </c>
      <c r="G49" s="8" t="inlineStr">
        <is>
          <t>Cameras</t>
        </is>
      </c>
      <c r="H49" s="8" t="inlineStr">
        <is>
          <t>ARRI</t>
        </is>
      </c>
      <c r="I49" s="8" t="inlineStr">
        <is>
          <t>ARRI</t>
        </is>
      </c>
      <c r="J49" s="9" t="inlineStr"/>
    </row>
    <row r="50" ht="125" customHeight="1">
      <c r="A50" s="2" t="inlineStr">
        <is>
          <t>ARRI Signature Prime 6-Lens Core Set (LPL) Kshs 15,000/- Each</t>
        </is>
      </c>
      <c r="B50" s="3" t="n">
        <v>90000</v>
      </c>
      <c r="C50" s="4">
        <f>IMAGE("https://tse1.mm.bing.net/th?q=ARRI%20Signature%20Prime%206-Lens%20Core%20Set%20%28LPL%29%20Kshs%2015%2C000/-%20Each", "ARRI Signature Prime 6-Lens Core Set (LPL) Kshs 15,000/- Each", 3, 120, 120)</f>
        <v/>
      </c>
      <c r="D50" s="2" t="inlineStr">
        <is>
          <t>https://tse1.mm.bing.net/th?q=ARRI%20Signature%20Prime%206-Lens%20Core%20Set%20%28LPL%29%20Kshs%2015%2C000/-%20Each</t>
        </is>
      </c>
      <c r="E50" s="2" t="inlineStr">
        <is>
          <t>https://gripsfilmsrentals.com/product/arri-signature-prime-6-lens-core-set-lpl-kshs-15-000--each/</t>
        </is>
      </c>
      <c r="F50" s="2" t="inlineStr">
        <is>
          <t>https://gripsfilmsrentals.com/shop/</t>
        </is>
      </c>
      <c r="G50" s="8" t="inlineStr">
        <is>
          <t>Lenses</t>
        </is>
      </c>
      <c r="H50" s="8" t="inlineStr">
        <is>
          <t>PL Mount</t>
        </is>
      </c>
      <c r="I50" s="8" t="inlineStr">
        <is>
          <t>ARRI</t>
        </is>
      </c>
      <c r="J50" s="9" t="inlineStr"/>
    </row>
    <row r="51" ht="125" customHeight="1">
      <c r="A51" s="2" t="inlineStr">
        <is>
          <t>ZEISS CP.3 5-Lens Set (PL Mount) Kshs 5,000/- Each</t>
        </is>
      </c>
      <c r="B51" s="3" t="n">
        <v>30000</v>
      </c>
      <c r="C51" s="4">
        <f>IMAGE("https://tse1.mm.bing.net/th?q=ZEISS%20CP.3%205-Lens%20Set%20%28PL%20Mount%29%20Kshs%205%2C000/-%20Each", "ZEISS CP.3 5-Lens Set (PL Mount) Kshs 5,000/- Each", 3, 120, 120)</f>
        <v/>
      </c>
      <c r="D51" s="2" t="inlineStr">
        <is>
          <t>https://tse1.mm.bing.net/th?q=ZEISS%20CP.3%205-Lens%20Set%20%28PL%20Mount%29%20Kshs%205%2C000/-%20Each</t>
        </is>
      </c>
      <c r="E51" s="2" t="inlineStr">
        <is>
          <t>https://gripsfilmsrentals.com/product/zeiss-cp-3-5-lens-set-pl-mount-kshs-5-000--each/</t>
        </is>
      </c>
      <c r="F51" s="2" t="inlineStr">
        <is>
          <t>https://gripsfilmsrentals.com/shop/</t>
        </is>
      </c>
      <c r="G51" s="8" t="inlineStr">
        <is>
          <t>Lenses</t>
        </is>
      </c>
      <c r="H51" s="8" t="inlineStr">
        <is>
          <t>PL Mount</t>
        </is>
      </c>
      <c r="I51" s="8" t="inlineStr"/>
      <c r="J51" s="9" t="inlineStr">
        <is>
          <t>PL Mount</t>
        </is>
      </c>
    </row>
    <row r="52" ht="125" customHeight="1">
      <c r="A52" s="2" t="inlineStr">
        <is>
          <t>ARRI ALEXA 35 Lightweight Set with CCM-1 Onboard Monitor</t>
        </is>
      </c>
      <c r="B52" s="3" t="n">
        <v>50000</v>
      </c>
      <c r="C52" s="4">
        <f>IMAGE("https://tse1.mm.bing.net/th?q=ARRI%20ALEXA%2035%20Lightweight%20Set%20with%20CCM-1%20Onboard%20Monitor", "ARRI ALEXA 35 Lightweight Set with CCM-1 Onboard Monitor", 3, 120, 120)</f>
        <v/>
      </c>
      <c r="D52" s="2" t="inlineStr">
        <is>
          <t>https://tse1.mm.bing.net/th?q=ARRI%20ALEXA%2035%20Lightweight%20Set%20with%20CCM-1%20Onboard%20Monitor</t>
        </is>
      </c>
      <c r="E52" s="2" t="inlineStr">
        <is>
          <t>https://gripsfilmsrentals.com/product/arri-alexa-35-lightweight-set-with-ccm-1-onboard-monitor/</t>
        </is>
      </c>
      <c r="F52" s="2" t="inlineStr">
        <is>
          <t>https://gripsfilmsrentals.com/shop/</t>
        </is>
      </c>
      <c r="G52" s="8" t="inlineStr">
        <is>
          <t>External Monitors</t>
        </is>
      </c>
      <c r="H52" s="8" t="inlineStr">
        <is>
          <t>External Monitor</t>
        </is>
      </c>
      <c r="I52" s="8" t="inlineStr">
        <is>
          <t>ARRI</t>
        </is>
      </c>
      <c r="J52" s="9" t="inlineStr"/>
    </row>
    <row r="53" ht="125" customHeight="1">
      <c r="A53" s="2" t="inlineStr">
        <is>
          <t>Canon RF 200-800mm f/6.3-9 IS USM Lens</t>
        </is>
      </c>
      <c r="B53" s="3" t="n">
        <v>3000</v>
      </c>
      <c r="C53" s="4">
        <f>IMAGE("https://tse1.mm.bing.net/th?q=Canon%20RF%20200-800mm%20f/6.3-9%20IS%20USM%20Lens", "Canon RF 200-800mm f/6.3-9 IS USM Lens", 3, 120, 120)</f>
        <v/>
      </c>
      <c r="D53" s="2" t="inlineStr">
        <is>
          <t>https://tse1.mm.bing.net/th?q=Canon%20RF%20200-800mm%20f/6.3-9%20IS%20USM%20Lens</t>
        </is>
      </c>
      <c r="E53" s="2" t="inlineStr">
        <is>
          <t>https://gripsfilmsrentals.com/product/canon-rf-200-800mm-f-6-3-9-is-usm-lens/</t>
        </is>
      </c>
      <c r="F53" s="2" t="inlineStr">
        <is>
          <t>https://gripsfilmsrentals.com/shop/</t>
        </is>
      </c>
      <c r="G53" s="8" t="inlineStr">
        <is>
          <t>Lenses</t>
        </is>
      </c>
      <c r="H53" s="8" t="inlineStr">
        <is>
          <t>Canon</t>
        </is>
      </c>
      <c r="I53" s="8" t="inlineStr">
        <is>
          <t>Canon</t>
        </is>
      </c>
      <c r="J53" s="9" t="inlineStr">
        <is>
          <t>f/6.3, 200-800mm, Canon RF</t>
        </is>
      </c>
    </row>
    <row r="54" ht="125" customHeight="1">
      <c r="A54" s="2" t="inlineStr">
        <is>
          <t>Accsoon CineView Master 4K SDI/HDMI Wireless Video Transmission System</t>
        </is>
      </c>
      <c r="B54" s="3" t="n">
        <v>4000</v>
      </c>
      <c r="C54" s="4">
        <f>IMAGE("https://tse1.mm.bing.net/th?q=Accsoon%20CineView%20Master%204K%20SDI/HDMI%20Wireless%20Video%20Transmission%20System", "Accsoon CineView Master 4K SDI/HDMI Wireless Video Transmission System", 3, 120, 120)</f>
        <v/>
      </c>
      <c r="D54" s="2" t="inlineStr">
        <is>
          <t>https://tse1.mm.bing.net/th?q=Accsoon%20CineView%20Master%204K%20SDI/HDMI%20Wireless%20Video%20Transmission%20System</t>
        </is>
      </c>
      <c r="E54" s="2" t="inlineStr">
        <is>
          <t>https://gripsfilmsrentals.com/product/accsoon-cineview-master-4k-sdi-hdmi-wireless-video-transmission-system/</t>
        </is>
      </c>
      <c r="F54" s="2" t="inlineStr">
        <is>
          <t>https://gripsfilmsrentals.com/shop/</t>
        </is>
      </c>
      <c r="G54" s="8" t="inlineStr">
        <is>
          <t>Image Transmission System</t>
        </is>
      </c>
      <c r="H54" s="8" t="inlineStr">
        <is>
          <t>Wireless Video Transmission</t>
        </is>
      </c>
      <c r="I54" s="8" t="inlineStr">
        <is>
          <t>Accsoon</t>
        </is>
      </c>
      <c r="J54" s="9" t="inlineStr">
        <is>
          <t>4K, SDI, HDMI, Wireless, Cine</t>
        </is>
      </c>
    </row>
    <row r="55" ht="125" customHeight="1">
      <c r="A55" s="2" t="inlineStr">
        <is>
          <t>Canon EOS R5 Mark II Mirrorless Camera</t>
        </is>
      </c>
      <c r="B55" s="3" t="n">
        <v>7000</v>
      </c>
      <c r="C55" s="4">
        <f>IMAGE("https://tse1.mm.bing.net/th?q=Canon%20EOS%20R5%20Mark%20II%20Mirrorless%20Camera", "Canon EOS R5 Mark II Mirrorless Camera", 3, 120, 120)</f>
        <v/>
      </c>
      <c r="D55" s="2" t="inlineStr">
        <is>
          <t>https://tse1.mm.bing.net/th?q=Canon%20EOS%20R5%20Mark%20II%20Mirrorless%20Camera</t>
        </is>
      </c>
      <c r="E55" s="2" t="inlineStr">
        <is>
          <t>https://gripsfilmsrentals.com/product/canon-eos-r5-mark-ii-mirrorless-camera/</t>
        </is>
      </c>
      <c r="F55" s="2" t="inlineStr">
        <is>
          <t>https://gripsfilmsrentals.com/shop/</t>
        </is>
      </c>
      <c r="G55" s="8" t="inlineStr">
        <is>
          <t>Cameras</t>
        </is>
      </c>
      <c r="H55" s="8" t="inlineStr">
        <is>
          <t>Canon</t>
        </is>
      </c>
      <c r="I55" s="8" t="inlineStr">
        <is>
          <t>Canon</t>
        </is>
      </c>
      <c r="J55" s="9" t="inlineStr">
        <is>
          <t>Mirrorless</t>
        </is>
      </c>
    </row>
    <row r="56" ht="125" customHeight="1">
      <c r="A56" s="2" t="inlineStr">
        <is>
          <t>Canon EOS R6 Mark II Mirrorless Camera</t>
        </is>
      </c>
      <c r="B56" s="3" t="n">
        <v>5000</v>
      </c>
      <c r="C56" s="4">
        <f>IMAGE("https://tse1.mm.bing.net/th?q=Canon%20EOS%20R6%20Mark%20II%20Mirrorless%20Camera", "Canon EOS R6 Mark II Mirrorless Camera", 3, 120, 120)</f>
        <v/>
      </c>
      <c r="D56" s="2" t="inlineStr">
        <is>
          <t>https://tse1.mm.bing.net/th?q=Canon%20EOS%20R6%20Mark%20II%20Mirrorless%20Camera</t>
        </is>
      </c>
      <c r="E56" s="2" t="inlineStr">
        <is>
          <t>https://gripsfilmsrentals.com/product/canon-eos-r6-mark-ii-mirrorless-camera/</t>
        </is>
      </c>
      <c r="F56" s="2" t="inlineStr">
        <is>
          <t>https://gripsfilmsrentals.com/shop/</t>
        </is>
      </c>
      <c r="G56" s="8" t="inlineStr">
        <is>
          <t>Cameras</t>
        </is>
      </c>
      <c r="H56" s="8" t="inlineStr">
        <is>
          <t>Canon</t>
        </is>
      </c>
      <c r="I56" s="8" t="inlineStr">
        <is>
          <t>Canon</t>
        </is>
      </c>
      <c r="J56" s="9" t="inlineStr">
        <is>
          <t>Mirrorless</t>
        </is>
      </c>
    </row>
    <row r="57" ht="125" customHeight="1">
      <c r="A57" s="2" t="inlineStr">
        <is>
          <t>EOS (Canon) C80 6K Full-Frame Cinema Camera (Canon RF)</t>
        </is>
      </c>
      <c r="B57" s="3" t="n">
        <v>8000</v>
      </c>
      <c r="C57" s="4">
        <f>IMAGE("https://tse1.mm.bing.net/th?q=EOS%20%28Canon%29%20C80%206K%20Full-Frame%20Cinema%20Camera%20%28Canon%20RF%29", "EOS (Canon) C80 6K Full-Frame Cinema Camera (Canon RF)", 3, 120, 120)</f>
        <v/>
      </c>
      <c r="D57" s="2" t="inlineStr">
        <is>
          <t>https://tse1.mm.bing.net/th?q=EOS%20%28Canon%29%20C80%206K%20Full-Frame%20Cinema%20Camera%20%28Canon%20RF%29</t>
        </is>
      </c>
      <c r="E57" s="2" t="inlineStr">
        <is>
          <t>https://gripsfilmsrentals.com/product/eos-canon-c80-6k-full-frame-cinema-camera-canon-rf/</t>
        </is>
      </c>
      <c r="F57" s="2" t="inlineStr">
        <is>
          <t>https://gripsfilmsrentals.com/shop/</t>
        </is>
      </c>
      <c r="G57" s="8" t="inlineStr">
        <is>
          <t>Cameras</t>
        </is>
      </c>
      <c r="H57" s="8" t="inlineStr">
        <is>
          <t>Canon</t>
        </is>
      </c>
      <c r="I57" s="8" t="inlineStr">
        <is>
          <t>Canon</t>
        </is>
      </c>
      <c r="J57" s="9" t="inlineStr">
        <is>
          <t>6K, Full-Frame, Canon RF, Cine, Cinema</t>
        </is>
      </c>
    </row>
    <row r="58" ht="125" customHeight="1">
      <c r="A58" s="2" t="inlineStr">
        <is>
          <t>Sony FE PZ 28-135mm f/4 G OSS Full-Frame Power Zoom Lens</t>
        </is>
      </c>
      <c r="B58" s="3" t="n">
        <v>3000</v>
      </c>
      <c r="C58" s="4">
        <f>IMAGE("https://tse1.mm.bing.net/th?q=Sony%20FE%20PZ%2028-135mm%20f/4%20G%20OSS%20Full-Frame%20Power%20Zoom%20Lens", "Sony FE PZ 28-135mm f/4 G OSS Full-Frame Power Zoom Lens", 3, 120, 120)</f>
        <v/>
      </c>
      <c r="D58" s="2" t="inlineStr">
        <is>
          <t>https://tse1.mm.bing.net/th?q=Sony%20FE%20PZ%2028-135mm%20f/4%20G%20OSS%20Full-Frame%20Power%20Zoom%20Lens</t>
        </is>
      </c>
      <c r="E58" s="2" t="inlineStr">
        <is>
          <t>https://gripsfilmsrentals.com/product/sony-fe-pz-28-135mm-f-4-g-oss-full-frame-power-zoom-lens/</t>
        </is>
      </c>
      <c r="F58" s="2" t="inlineStr">
        <is>
          <t>https://gripsfilmsrentals.com/shop/</t>
        </is>
      </c>
      <c r="G58" s="8" t="inlineStr">
        <is>
          <t>Lenses</t>
        </is>
      </c>
      <c r="H58" s="8" t="inlineStr">
        <is>
          <t>Sony</t>
        </is>
      </c>
      <c r="I58" s="8" t="inlineStr">
        <is>
          <t>Sony</t>
        </is>
      </c>
      <c r="J58" s="9" t="inlineStr">
        <is>
          <t>f/4, 28-135mm, Full-Frame</t>
        </is>
      </c>
    </row>
    <row r="59" ht="125" customHeight="1">
      <c r="A59" s="2" t="inlineStr">
        <is>
          <t>Nikon Z6 III Mirrorless Camera</t>
        </is>
      </c>
      <c r="B59" s="3" t="n">
        <v>5000</v>
      </c>
      <c r="C59" s="4">
        <f>IMAGE("https://tse1.mm.bing.net/th?q=Nikon%20Z6%20III%20Mirrorless%20Camera", "Nikon Z6 III Mirrorless Camera", 3, 120, 120)</f>
        <v/>
      </c>
      <c r="D59" s="2" t="inlineStr">
        <is>
          <t>https://tse1.mm.bing.net/th?q=Nikon%20Z6%20III%20Mirrorless%20Camera</t>
        </is>
      </c>
      <c r="E59" s="2" t="inlineStr">
        <is>
          <t>https://gripsfilmsrentals.com/product/nikon-z6-iii-mirrorless-camera/</t>
        </is>
      </c>
      <c r="F59" s="2" t="inlineStr">
        <is>
          <t>https://gripsfilmsrentals.com/shop/</t>
        </is>
      </c>
      <c r="G59" s="8" t="inlineStr">
        <is>
          <t>Cameras</t>
        </is>
      </c>
      <c r="H59" s="8" t="inlineStr">
        <is>
          <t>Nikon</t>
        </is>
      </c>
      <c r="I59" s="8" t="inlineStr">
        <is>
          <t>Nikon</t>
        </is>
      </c>
      <c r="J59" s="9" t="inlineStr">
        <is>
          <t>Nikon Z, Mirrorless</t>
        </is>
      </c>
    </row>
    <row r="60" ht="125" customHeight="1">
      <c r="A60" s="2" t="inlineStr">
        <is>
          <t>Canon EOS C400 6K Full-Frame Digital Cinema Camera (Canon RF)</t>
        </is>
      </c>
      <c r="B60" s="3" t="n">
        <v>10000</v>
      </c>
      <c r="C60" s="4">
        <f>IMAGE("https://tse1.mm.bing.net/th?q=Canon%20EOS%20C400%206K%20Full-Frame%20Digital%20Cinema%20Camera%20%28Canon%20RF%29", "Canon EOS C400 6K Full-Frame Digital Cinema Camera (Canon RF)", 3, 120, 120)</f>
        <v/>
      </c>
      <c r="D60" s="2" t="inlineStr">
        <is>
          <t>https://tse1.mm.bing.net/th?q=Canon%20EOS%20C400%206K%20Full-Frame%20Digital%20Cinema%20Camera%20%28Canon%20RF%29</t>
        </is>
      </c>
      <c r="E60" s="2" t="inlineStr">
        <is>
          <t>https://gripsfilmsrentals.com/product/canon-eos-c400-6k-full-frame-digital-cinema-camera-canon-rf/</t>
        </is>
      </c>
      <c r="F60" s="2" t="inlineStr">
        <is>
          <t>https://gripsfilmsrentals.com/shop/</t>
        </is>
      </c>
      <c r="G60" s="8" t="inlineStr">
        <is>
          <t>Cameras</t>
        </is>
      </c>
      <c r="H60" s="8" t="inlineStr">
        <is>
          <t>Canon</t>
        </is>
      </c>
      <c r="I60" s="8" t="inlineStr">
        <is>
          <t>Canon</t>
        </is>
      </c>
      <c r="J60" s="9" t="inlineStr">
        <is>
          <t>6K, Full-Frame, Canon RF, Cine, Cinema, Digital Cinema</t>
        </is>
      </c>
    </row>
    <row r="61" ht="125" customHeight="1">
      <c r="A61" s="2" t="inlineStr">
        <is>
          <t>SmallRig Triple Magnetic Suction Cup Mounting Support Set for Action Cameras</t>
        </is>
      </c>
      <c r="B61" s="3" t="n">
        <v>1000</v>
      </c>
      <c r="C61" s="4">
        <f>IMAGE("https://tse1.mm.bing.net/th?q=SmallRig%20Triple%20Magnetic%20Suction%20Cup%20Mounting%20Support%20Set%20for%20Action%20Cameras", "SmallRig Triple Magnetic Suction Cup Mounting Support Set for Action Cameras", 3, 120, 120)</f>
        <v/>
      </c>
      <c r="D61" s="2" t="inlineStr">
        <is>
          <t>https://tse1.mm.bing.net/th?q=SmallRig%20Triple%20Magnetic%20Suction%20Cup%20Mounting%20Support%20Set%20for%20Action%20Cameras</t>
        </is>
      </c>
      <c r="E61" s="2" t="inlineStr">
        <is>
          <t>https://gripsfilmsrentals.com/product/smallrig-triple-magnetic-suction-cup-mounting-support-set-for-action-cameras/</t>
        </is>
      </c>
      <c r="F61" s="2" t="inlineStr">
        <is>
          <t>https://gripsfilmsrentals.com/shop/</t>
        </is>
      </c>
      <c r="G61" s="8" t="inlineStr">
        <is>
          <t>Stands</t>
        </is>
      </c>
      <c r="H61" s="8" t="inlineStr">
        <is>
          <t>Stand / Support</t>
        </is>
      </c>
      <c r="I61" s="8" t="inlineStr">
        <is>
          <t>SmallRig</t>
        </is>
      </c>
      <c r="J61" s="9" t="inlineStr"/>
    </row>
    <row r="62" ht="125" customHeight="1">
      <c r="A62" s="2" t="inlineStr">
        <is>
          <t>Canon RF 24-105mm f/2.8 L IS USM Z Lens (Canon RF)</t>
        </is>
      </c>
      <c r="B62" s="3" t="n">
        <v>2500</v>
      </c>
      <c r="C62" s="4">
        <f>IMAGE("https://tse1.mm.bing.net/th?q=Canon%20RF%2024-105mm%20f/2.8%20L%20IS%20USM%20Z%20Lens%20%28Canon%20RF%29", "Canon RF 24-105mm f/2.8 L IS USM Z Lens (Canon RF)", 3, 120, 120)</f>
        <v/>
      </c>
      <c r="D62" s="2" t="inlineStr">
        <is>
          <t>https://tse1.mm.bing.net/th?q=Canon%20RF%2024-105mm%20f/2.8%20L%20IS%20USM%20Z%20Lens%20%28Canon%20RF%29</t>
        </is>
      </c>
      <c r="E62" s="2" t="inlineStr">
        <is>
          <t>https://gripsfilmsrentals.com/product/canon-rf-24-105mm-f-2-8-l-is-usm-z-lens-canon-rf/</t>
        </is>
      </c>
      <c r="F62" s="2" t="inlineStr">
        <is>
          <t>https://gripsfilmsrentals.com/shop/</t>
        </is>
      </c>
      <c r="G62" s="8" t="inlineStr">
        <is>
          <t>Lenses</t>
        </is>
      </c>
      <c r="H62" s="8" t="inlineStr">
        <is>
          <t>Canon</t>
        </is>
      </c>
      <c r="I62" s="8" t="inlineStr">
        <is>
          <t>Canon</t>
        </is>
      </c>
      <c r="J62" s="9" t="inlineStr">
        <is>
          <t>f/2.8, 24-105mm, Canon RF</t>
        </is>
      </c>
    </row>
    <row r="63" ht="125" customHeight="1">
      <c r="A63" s="2" t="inlineStr">
        <is>
          <t>Canon EOS 250D DSLR Camera</t>
        </is>
      </c>
      <c r="B63" s="3" t="n">
        <v>2000</v>
      </c>
      <c r="C63" s="4">
        <f>IMAGE("https://tse1.mm.bing.net/th?q=Canon%20EOS%20250D%20DSLR%20Camera", "Canon EOS 250D DSLR Camera", 3, 120, 120)</f>
        <v/>
      </c>
      <c r="D63" s="2" t="inlineStr">
        <is>
          <t>https://tse1.mm.bing.net/th?q=Canon%20EOS%20250D%20DSLR%20Camera</t>
        </is>
      </c>
      <c r="E63" s="2" t="inlineStr">
        <is>
          <t>https://gripsfilmsrentals.com/product/canon-eos-250d-dslr-camera/</t>
        </is>
      </c>
      <c r="F63" s="2" t="inlineStr">
        <is>
          <t>https://gripsfilmsrentals.com/shop/</t>
        </is>
      </c>
      <c r="G63" s="8" t="inlineStr">
        <is>
          <t>Cameras</t>
        </is>
      </c>
      <c r="H63" s="8" t="inlineStr">
        <is>
          <t>Canon</t>
        </is>
      </c>
      <c r="I63" s="8" t="inlineStr">
        <is>
          <t>Canon</t>
        </is>
      </c>
      <c r="J63" s="9" t="inlineStr"/>
    </row>
    <row r="64" ht="125" customHeight="1">
      <c r="A64" s="2" t="inlineStr">
        <is>
          <t>Venus Optics Laowa 12mm T2.9 Zero-D Cine Lens (Sony E)</t>
        </is>
      </c>
      <c r="B64" s="3" t="n">
        <v>3000</v>
      </c>
      <c r="C64" s="4">
        <f>IMAGE("https://tse1.mm.bing.net/th?q=Venus%20Optics%20Laowa%2012mm%20T2.9%20Zero-D%20Cine%20Lens%20%28Sony%20E%29", "Venus Optics Laowa 12mm T2.9 Zero-D Cine Lens (Sony E)", 3, 120, 120)</f>
        <v/>
      </c>
      <c r="D64" s="2" t="inlineStr">
        <is>
          <t>https://tse1.mm.bing.net/th?q=Venus%20Optics%20Laowa%2012mm%20T2.9%20Zero-D%20Cine%20Lens%20%28Sony%20E%29</t>
        </is>
      </c>
      <c r="E64" s="2" t="inlineStr">
        <is>
          <t>https://gripsfilmsrentals.com/product/venus-optics-laowa-12mm-t2-9-zero-d-cine-lens-sony-e/</t>
        </is>
      </c>
      <c r="F64" s="2" t="inlineStr">
        <is>
          <t>https://gripsfilmsrentals.com/shop/</t>
        </is>
      </c>
      <c r="G64" s="8" t="inlineStr">
        <is>
          <t>Lenses</t>
        </is>
      </c>
      <c r="H64" s="8" t="inlineStr">
        <is>
          <t>Sony</t>
        </is>
      </c>
      <c r="I64" s="8" t="inlineStr">
        <is>
          <t>Sony</t>
        </is>
      </c>
      <c r="J64" s="9" t="inlineStr">
        <is>
          <t>12mm, Sony E, Cine</t>
        </is>
      </c>
    </row>
    <row r="65" ht="125" customHeight="1">
      <c r="A65" s="2" t="inlineStr">
        <is>
          <t>GoPro HERO13 Black</t>
        </is>
      </c>
      <c r="B65" s="3" t="n">
        <v>4000</v>
      </c>
      <c r="C65" s="4">
        <f>IMAGE("https://tse1.mm.bing.net/th?q=GoPro%20HERO13%20Black", "GoPro HERO13 Black", 3, 120, 120)</f>
        <v/>
      </c>
      <c r="D65" s="2" t="inlineStr">
        <is>
          <t>https://tse1.mm.bing.net/th?q=GoPro%20HERO13%20Black</t>
        </is>
      </c>
      <c r="E65" s="2" t="inlineStr">
        <is>
          <t>https://gripsfilmsrentals.com/product/gopro-hero13-black/</t>
        </is>
      </c>
      <c r="F65" s="2" t="inlineStr">
        <is>
          <t>https://gripsfilmsrentals.com/shop/</t>
        </is>
      </c>
      <c r="G65" s="8" t="inlineStr">
        <is>
          <t>Cameras</t>
        </is>
      </c>
      <c r="H65" s="8" t="inlineStr">
        <is>
          <t>Action Cameras</t>
        </is>
      </c>
      <c r="I65" s="8" t="inlineStr">
        <is>
          <t>GoPro</t>
        </is>
      </c>
      <c r="J65" s="9" t="inlineStr"/>
    </row>
    <row r="66" ht="125" customHeight="1">
      <c r="A66" s="2" t="inlineStr">
        <is>
          <t>Teradek Bolt 6 LT 750 3G-SDI/HDMI Transmitter/Receiver Kit</t>
        </is>
      </c>
      <c r="B66" s="3" t="n">
        <v>5000</v>
      </c>
      <c r="C66" s="4">
        <f>IMAGE("https://tse1.mm.bing.net/th?q=Teradek%20Bolt%206%20LT%20750%203G-SDI/HDMI%20Transmitter/Receiver%20Kit", "Teradek Bolt 6 LT 750 3G-SDI/HDMI Transmitter/Receiver Kit", 3, 120, 120)</f>
        <v/>
      </c>
      <c r="D66" s="2" t="inlineStr">
        <is>
          <t>https://tse1.mm.bing.net/th?q=Teradek%20Bolt%206%20LT%20750%203G-SDI/HDMI%20Transmitter/Receiver%20Kit</t>
        </is>
      </c>
      <c r="E66" s="2" t="inlineStr">
        <is>
          <t>https://gripsfilmsrentals.com/product/teradek-bolt-6-lt-750-3g-sdi-hdmi-transmitter-receiver-kit/</t>
        </is>
      </c>
      <c r="F66" s="2" t="inlineStr">
        <is>
          <t>https://gripsfilmsrentals.com/shop/</t>
        </is>
      </c>
      <c r="G66" s="8" t="inlineStr">
        <is>
          <t>Image Transmission System</t>
        </is>
      </c>
      <c r="H66" s="8" t="inlineStr">
        <is>
          <t>Wireless Video Transmission</t>
        </is>
      </c>
      <c r="I66" s="8" t="inlineStr">
        <is>
          <t>Teradek</t>
        </is>
      </c>
      <c r="J66" s="9" t="inlineStr">
        <is>
          <t>3G, SDI, HDMI</t>
        </is>
      </c>
    </row>
    <row r="67" ht="125" customHeight="1">
      <c r="A67" s="2" t="inlineStr">
        <is>
          <t>RODE Wireless PRO 2-Person Clip-On Wireless Microphone System/Recorder with Lavaliers (2.4 GHz)</t>
        </is>
      </c>
      <c r="B67" s="3" t="n">
        <v>2000</v>
      </c>
      <c r="C67" s="4">
        <f>IMAGE("https://tse1.mm.bing.net/th?q=RODE%20Wireless%20PRO%202-Person%20Clip-On%20Wireless%20Microphone%20System/Recorder%20with%20Lavaliers%20%282.4%20GHz%29", "RODE Wireless PRO 2-Person Clip-On Wireless Microphone System/Recorder with Lavaliers (2.4 GHz)", 3, 120, 120)</f>
        <v/>
      </c>
      <c r="D67" s="2" t="inlineStr">
        <is>
          <t>https://tse1.mm.bing.net/th?q=RODE%20Wireless%20PRO%202-Person%20Clip-On%20Wireless%20Microphone%20System/Recorder%20with%20Lavaliers%20%282.4%20GHz%29</t>
        </is>
      </c>
      <c r="E67" s="2" t="inlineStr">
        <is>
          <t>https://gripsfilmsrentals.com/product/rode-wireless-pro-2-person-clip-on-wireless-microphone-system-recorder-with-lavaliers-2-4-ghz/</t>
        </is>
      </c>
      <c r="F67" s="2" t="inlineStr">
        <is>
          <t>https://gripsfilmsrentals.com/shop/</t>
        </is>
      </c>
      <c r="G67" s="8" t="inlineStr">
        <is>
          <t>Sound</t>
        </is>
      </c>
      <c r="H67" s="8" t="inlineStr">
        <is>
          <t>Lapels</t>
        </is>
      </c>
      <c r="I67" s="8" t="inlineStr">
        <is>
          <t>RODE</t>
        </is>
      </c>
      <c r="J67" s="9" t="inlineStr">
        <is>
          <t>Wireless</t>
        </is>
      </c>
    </row>
    <row r="68" ht="125" customHeight="1">
      <c r="A68" s="2" t="inlineStr">
        <is>
          <t>DJI Mic 2 2-Person Compact Digital Wireless Microphone System/Recorder</t>
        </is>
      </c>
      <c r="B68" s="3" t="n">
        <v>2000</v>
      </c>
      <c r="C68" s="4">
        <f>IMAGE("https://tse1.mm.bing.net/th?q=DJI%20Mic%202%202-Person%20Compact%20Digital%20Wireless%20Microphone%20System/Recorder", "DJI Mic 2 2-Person Compact Digital Wireless Microphone System/Recorder", 3, 120, 120)</f>
        <v/>
      </c>
      <c r="D68" s="2" t="inlineStr">
        <is>
          <t>https://tse1.mm.bing.net/th?q=DJI%20Mic%202%202-Person%20Compact%20Digital%20Wireless%20Microphone%20System/Recorder</t>
        </is>
      </c>
      <c r="E68" s="2" t="inlineStr">
        <is>
          <t>https://gripsfilmsrentals.com/product/dji-mic-2-2-person-compact-digital-wireless-microphone-system-recorder/</t>
        </is>
      </c>
      <c r="F68" s="2" t="inlineStr">
        <is>
          <t>https://gripsfilmsrentals.com/shop/</t>
        </is>
      </c>
      <c r="G68" s="8" t="inlineStr">
        <is>
          <t>Sound</t>
        </is>
      </c>
      <c r="H68" s="8" t="inlineStr">
        <is>
          <t>Microphone</t>
        </is>
      </c>
      <c r="I68" s="8" t="inlineStr">
        <is>
          <t>DJI</t>
        </is>
      </c>
      <c r="J68" s="9" t="inlineStr">
        <is>
          <t>Wireless</t>
        </is>
      </c>
    </row>
    <row r="69" ht="125" customHeight="1">
      <c r="A69" s="2" t="inlineStr">
        <is>
          <t>Tamron 35-150mm f/2-2.8 Di III VXD Lens (Nikon Z)</t>
        </is>
      </c>
      <c r="B69" s="3" t="n">
        <v>2000</v>
      </c>
      <c r="C69" s="4">
        <f>IMAGE("https://tse1.mm.bing.net/th?q=Tamron%2035-150mm%20f/2-2.8%20Di%20III%20VXD%20Lens%20%28Nikon%20Z%29", "Tamron 35-150mm f/2-2.8 Di III VXD Lens (Nikon Z)", 3, 120, 120)</f>
        <v/>
      </c>
      <c r="D69" s="2" t="inlineStr">
        <is>
          <t>https://tse1.mm.bing.net/th?q=Tamron%2035-150mm%20f/2-2.8%20Di%20III%20VXD%20Lens%20%28Nikon%20Z%29</t>
        </is>
      </c>
      <c r="E69" s="2" t="inlineStr">
        <is>
          <t>https://gripsfilmsrentals.com/product/tamron-35-150mm-f-2-2-8-di-iii-vxd-lens-nikon-z/</t>
        </is>
      </c>
      <c r="F69" s="2" t="inlineStr">
        <is>
          <t>https://gripsfilmsrentals.com/shop/</t>
        </is>
      </c>
      <c r="G69" s="8" t="inlineStr">
        <is>
          <t>Lenses</t>
        </is>
      </c>
      <c r="H69" s="8" t="inlineStr">
        <is>
          <t>Nikon</t>
        </is>
      </c>
      <c r="I69" s="8" t="inlineStr">
        <is>
          <t>Nikon</t>
        </is>
      </c>
      <c r="J69" s="9" t="inlineStr">
        <is>
          <t>f/2, 35-150mm, Nikon Z</t>
        </is>
      </c>
    </row>
    <row r="70" ht="125" customHeight="1">
      <c r="A70" s="2" t="inlineStr">
        <is>
          <t>Tamron 35-150mm f/2-2.8 Di III VXD Lens (Sony E)</t>
        </is>
      </c>
      <c r="B70" s="3" t="n">
        <v>2000</v>
      </c>
      <c r="C70" s="4">
        <f>IMAGE("https://tse1.mm.bing.net/th?q=Tamron%2035-150mm%20f/2-2.8%20Di%20III%20VXD%20Lens%20%28Sony%20E%29", "Tamron 35-150mm f/2-2.8 Di III VXD Lens (Sony E)", 3, 120, 120)</f>
        <v/>
      </c>
      <c r="D70" s="2" t="inlineStr">
        <is>
          <t>https://tse1.mm.bing.net/th?q=Tamron%2035-150mm%20f/2-2.8%20Di%20III%20VXD%20Lens%20%28Sony%20E%29</t>
        </is>
      </c>
      <c r="E70" s="2" t="inlineStr">
        <is>
          <t>https://gripsfilmsrentals.com/product/tamron-35-150mm-f-2-2-8-di-iii-vxd-lens-sony-e/</t>
        </is>
      </c>
      <c r="F70" s="2" t="inlineStr">
        <is>
          <t>https://gripsfilmsrentals.com/shop/</t>
        </is>
      </c>
      <c r="G70" s="8" t="inlineStr">
        <is>
          <t>Lenses</t>
        </is>
      </c>
      <c r="H70" s="8" t="inlineStr">
        <is>
          <t>Sony</t>
        </is>
      </c>
      <c r="I70" s="8" t="inlineStr">
        <is>
          <t>Sony</t>
        </is>
      </c>
      <c r="J70" s="9" t="inlineStr">
        <is>
          <t>f/2, 35-150mm, Sony E</t>
        </is>
      </c>
    </row>
    <row r="71" ht="125" customHeight="1">
      <c r="A71" s="2" t="inlineStr">
        <is>
          <t>Sony a7R V Mirrorless Camera (a7R5)</t>
        </is>
      </c>
      <c r="B71" s="3" t="n">
        <v>6000</v>
      </c>
      <c r="C71" s="4">
        <f>IMAGE("https://tse1.mm.bing.net/th?q=Sony%20a7R%20V%20Mirrorless%20Camera%20%28a7R5%29", "Sony a7R V Mirrorless Camera (a7R5)", 3, 120, 120)</f>
        <v/>
      </c>
      <c r="D71" s="2" t="inlineStr">
        <is>
          <t>https://tse1.mm.bing.net/th?q=Sony%20a7R%20V%20Mirrorless%20Camera%20%28a7R5%29</t>
        </is>
      </c>
      <c r="E71" s="2" t="inlineStr">
        <is>
          <t>https://gripsfilmsrentals.com/product/sony-a7r-v-mirrorless-camera-a7r5/</t>
        </is>
      </c>
      <c r="F71" s="2" t="inlineStr">
        <is>
          <t>https://gripsfilmsrentals.com/shop/</t>
        </is>
      </c>
      <c r="G71" s="8" t="inlineStr">
        <is>
          <t>Cameras</t>
        </is>
      </c>
      <c r="H71" s="8" t="inlineStr">
        <is>
          <t>Sony</t>
        </is>
      </c>
      <c r="I71" s="8" t="inlineStr">
        <is>
          <t>Sony</t>
        </is>
      </c>
      <c r="J71" s="9" t="inlineStr">
        <is>
          <t>Mirrorless</t>
        </is>
      </c>
    </row>
    <row r="72" ht="125" customHeight="1">
      <c r="A72" s="2" t="inlineStr">
        <is>
          <t>L Bracket</t>
        </is>
      </c>
      <c r="B72" s="3" t="n">
        <v>300</v>
      </c>
      <c r="C72" s="4">
        <f>IMAGE("https://tse1.mm.bing.net/th?q=L%20Bracket", "L Bracket", 3, 120, 120)</f>
        <v/>
      </c>
      <c r="D72" s="2" t="inlineStr">
        <is>
          <t>https://tse1.mm.bing.net/th?q=L%20Bracket</t>
        </is>
      </c>
      <c r="E72" s="2" t="inlineStr">
        <is>
          <t>https://gripsfilmsrentals.com/product/l-bracket/</t>
        </is>
      </c>
      <c r="F72" s="2" t="inlineStr">
        <is>
          <t>https://gripsfilmsrentals.com/shop/</t>
        </is>
      </c>
      <c r="G72" s="8" t="inlineStr">
        <is>
          <t>Photography / Video Accessories</t>
        </is>
      </c>
      <c r="H72" s="8" t="inlineStr">
        <is>
          <t>Accessory</t>
        </is>
      </c>
      <c r="I72" s="8" t="inlineStr"/>
      <c r="J72" s="9" t="inlineStr"/>
    </row>
    <row r="73" ht="125" customHeight="1">
      <c r="A73" s="2" t="inlineStr">
        <is>
          <t>Nikon Z9 Mirrorless Camera</t>
        </is>
      </c>
      <c r="B73" s="3" t="n">
        <v>7000</v>
      </c>
      <c r="C73" s="4">
        <f>IMAGE("https://tse1.mm.bing.net/th?q=Nikon%20Z9%20Mirrorless%20Camera", "Nikon Z9 Mirrorless Camera", 3, 120, 120)</f>
        <v/>
      </c>
      <c r="D73" s="2" t="inlineStr">
        <is>
          <t>https://tse1.mm.bing.net/th?q=Nikon%20Z9%20Mirrorless%20Camera</t>
        </is>
      </c>
      <c r="E73" s="2" t="inlineStr">
        <is>
          <t>https://gripsfilmsrentals.com/product/nikon-z9-mirrorless-camera/</t>
        </is>
      </c>
      <c r="F73" s="2" t="inlineStr">
        <is>
          <t>https://gripsfilmsrentals.com/shop/</t>
        </is>
      </c>
      <c r="G73" s="8" t="inlineStr">
        <is>
          <t>Cameras</t>
        </is>
      </c>
      <c r="H73" s="8" t="inlineStr">
        <is>
          <t>Nikon</t>
        </is>
      </c>
      <c r="I73" s="8" t="inlineStr">
        <is>
          <t>Nikon</t>
        </is>
      </c>
      <c r="J73" s="9" t="inlineStr">
        <is>
          <t>Nikon Z, Mirrorless</t>
        </is>
      </c>
    </row>
    <row r="74" ht="125" customHeight="1">
      <c r="A74" s="2" t="inlineStr">
        <is>
          <t>Nikon Z6 II Mirrorless Camera</t>
        </is>
      </c>
      <c r="B74" s="3" t="n">
        <v>4500</v>
      </c>
      <c r="C74" s="4">
        <f>IMAGE("https://tse1.mm.bing.net/th?q=Nikon%20Z6%20II%20Mirrorless%20Camera", "Nikon Z6 II Mirrorless Camera", 3, 120, 120)</f>
        <v/>
      </c>
      <c r="D74" s="2" t="inlineStr">
        <is>
          <t>https://tse1.mm.bing.net/th?q=Nikon%20Z6%20II%20Mirrorless%20Camera</t>
        </is>
      </c>
      <c r="E74" s="2" t="inlineStr">
        <is>
          <t>https://gripsfilmsrentals.com/product/nikon-z6-ii-mirrorless-camera/</t>
        </is>
      </c>
      <c r="F74" s="2" t="inlineStr">
        <is>
          <t>https://gripsfilmsrentals.com/shop/</t>
        </is>
      </c>
      <c r="G74" s="8" t="inlineStr">
        <is>
          <t>Cameras</t>
        </is>
      </c>
      <c r="H74" s="8" t="inlineStr">
        <is>
          <t>Nikon</t>
        </is>
      </c>
      <c r="I74" s="8" t="inlineStr">
        <is>
          <t>Nikon</t>
        </is>
      </c>
      <c r="J74" s="9" t="inlineStr">
        <is>
          <t>Nikon Z, Mirrorless</t>
        </is>
      </c>
    </row>
    <row r="75" ht="125" customHeight="1">
      <c r="A75" s="2" t="inlineStr">
        <is>
          <t>Nikon Z7 II Mirrorless Camera</t>
        </is>
      </c>
      <c r="B75" s="3" t="n">
        <v>5500</v>
      </c>
      <c r="C75" s="4">
        <f>IMAGE("https://tse1.mm.bing.net/th?q=Nikon%20Z7%20II%20Mirrorless%20Camera", "Nikon Z7 II Mirrorless Camera", 3, 120, 120)</f>
        <v/>
      </c>
      <c r="D75" s="2" t="inlineStr">
        <is>
          <t>https://tse1.mm.bing.net/th?q=Nikon%20Z7%20II%20Mirrorless%20Camera</t>
        </is>
      </c>
      <c r="E75" s="2" t="inlineStr">
        <is>
          <t>https://gripsfilmsrentals.com/product/nikon-z7-ii-mirrorless-camera/</t>
        </is>
      </c>
      <c r="F75" s="2" t="inlineStr">
        <is>
          <t>https://gripsfilmsrentals.com/shop/</t>
        </is>
      </c>
      <c r="G75" s="8" t="inlineStr">
        <is>
          <t>Cameras</t>
        </is>
      </c>
      <c r="H75" s="8" t="inlineStr">
        <is>
          <t>Nikon</t>
        </is>
      </c>
      <c r="I75" s="8" t="inlineStr">
        <is>
          <t>Nikon</t>
        </is>
      </c>
      <c r="J75" s="9" t="inlineStr">
        <is>
          <t>Nikon Z, Mirrorless</t>
        </is>
      </c>
    </row>
    <row r="76" ht="125" customHeight="1">
      <c r="A76" s="2" t="inlineStr">
        <is>
          <t>amaran F22c 2 x 2′ RGB LED Flexible Light Mat (V-Mount)</t>
        </is>
      </c>
      <c r="B76" s="3" t="n">
        <v>2500</v>
      </c>
      <c r="C76" s="4">
        <f>IMAGE("https://tse1.mm.bing.net/th?q=amaran%20F22c%202%20x%202%E2%80%B2%20RGB%20LED%20Flexible%20Light%20Mat%20%28V-Mount%29", "amaran F22c 2 x 2′ RGB LED Flexible Light Mat (V-Mount)", 3, 120, 120)</f>
        <v/>
      </c>
      <c r="D76" s="2" t="inlineStr">
        <is>
          <t>https://tse1.mm.bing.net/th?q=amaran%20F22c%202%20x%202%E2%80%B2%20RGB%20LED%20Flexible%20Light%20Mat%20%28V-Mount%29</t>
        </is>
      </c>
      <c r="E76" s="2" t="inlineStr">
        <is>
          <t>https://gripsfilmsrentals.com/product/amaran-f22c-2-x-2-rgb-led-flexible-light-mat-v-mount/</t>
        </is>
      </c>
      <c r="F76" s="2" t="inlineStr">
        <is>
          <t>https://gripsfilmsrentals.com/shop/</t>
        </is>
      </c>
      <c r="G76" s="8" t="inlineStr">
        <is>
          <t>Batteries plus Chargers</t>
        </is>
      </c>
      <c r="H76" s="8" t="inlineStr">
        <is>
          <t>Battery / Charger</t>
        </is>
      </c>
      <c r="I76" s="8" t="inlineStr">
        <is>
          <t>Amaran</t>
        </is>
      </c>
      <c r="J76" s="9" t="inlineStr">
        <is>
          <t>V-Mount, RGB</t>
        </is>
      </c>
    </row>
    <row r="77" ht="125" customHeight="1">
      <c r="A77" s="2" t="inlineStr">
        <is>
          <t>amaran F22x 2×2 Bi-Color LED Flexible Mat (V-Mount)</t>
        </is>
      </c>
      <c r="B77" s="3" t="n">
        <v>2500</v>
      </c>
      <c r="C77" s="4">
        <f>IMAGE("https://tse1.mm.bing.net/th?q=amaran%20F22x%202%C3%972%20Bi-Color%20LED%20Flexible%20Mat%20%28V-Mount%29", "amaran F22x 2×2 Bi-Color LED Flexible Mat (V-Mount)", 3, 120, 120)</f>
        <v/>
      </c>
      <c r="D77" s="2" t="inlineStr">
        <is>
          <t>https://tse1.mm.bing.net/th?q=amaran%20F22x%202%C3%972%20Bi-Color%20LED%20Flexible%20Mat%20%28V-Mount%29</t>
        </is>
      </c>
      <c r="E77" s="2" t="inlineStr">
        <is>
          <t>https://gripsfilmsrentals.com/product/amaran-f22x-2-2-bi-color-led-flexible-mat-v-mount/</t>
        </is>
      </c>
      <c r="F77" s="2" t="inlineStr">
        <is>
          <t>https://gripsfilmsrentals.com/shop/</t>
        </is>
      </c>
      <c r="G77" s="8" t="inlineStr">
        <is>
          <t>Batteries plus Chargers</t>
        </is>
      </c>
      <c r="H77" s="8" t="inlineStr">
        <is>
          <t>Battery / Charger</t>
        </is>
      </c>
      <c r="I77" s="8" t="inlineStr">
        <is>
          <t>Amaran</t>
        </is>
      </c>
      <c r="J77" s="9" t="inlineStr">
        <is>
          <t>V-Mount, Bi-Color</t>
        </is>
      </c>
    </row>
    <row r="78" ht="125" customHeight="1">
      <c r="A78" s="2" t="inlineStr">
        <is>
          <t>Sony VENICE 2 Digital Motion Picture Camera (8K) [Body only]</t>
        </is>
      </c>
      <c r="B78" s="3" t="n">
        <v>40000</v>
      </c>
      <c r="C78" s="4">
        <f>IMAGE("https://tse1.mm.bing.net/th?q=Sony%20VENICE%202%20Digital%20Motion%20Picture%20Camera%20%288K%29%20%5BBody%20only%5D", "Sony VENICE 2 Digital Motion Picture Camera (8K) [Body only]", 3, 120, 120)</f>
        <v/>
      </c>
      <c r="D78" s="2" t="inlineStr">
        <is>
          <t>https://tse1.mm.bing.net/th?q=Sony%20VENICE%202%20Digital%20Motion%20Picture%20Camera%20%288K%29%20%5BBody%20only%5D</t>
        </is>
      </c>
      <c r="E78" s="2" t="inlineStr">
        <is>
          <t>https://gripsfilmsrentals.com/product/sony-venice-2-digital-motion-picture-camera-8k--body-only/</t>
        </is>
      </c>
      <c r="F78" s="2" t="inlineStr">
        <is>
          <t>https://gripsfilmsrentals.com/shop/</t>
        </is>
      </c>
      <c r="G78" s="8" t="inlineStr">
        <is>
          <t>Cameras</t>
        </is>
      </c>
      <c r="H78" s="8" t="inlineStr">
        <is>
          <t>Sony</t>
        </is>
      </c>
      <c r="I78" s="8" t="inlineStr">
        <is>
          <t>Sony</t>
        </is>
      </c>
      <c r="J78" s="9" t="inlineStr">
        <is>
          <t>8K</t>
        </is>
      </c>
    </row>
    <row r="79" ht="125" customHeight="1">
      <c r="A79" s="2" t="inlineStr">
        <is>
          <t>BURANO (Sony) 8K Digital Cinema Camera Kit with GP-VR100 Grip Remote Control [Body only]</t>
        </is>
      </c>
      <c r="B79" s="3" t="n">
        <v>25000</v>
      </c>
      <c r="C79" s="4">
        <f>IMAGE("https://tse1.mm.bing.net/th?q=BURANO%20%28Sony%29%208K%20Digital%20Cinema%20Camera%20Kit%20with%20GP-VR100%20Grip%20Remote%20Control%20%5BBody%20only%5D", "BURANO (Sony) 8K Digital Cinema Camera Kit with GP-VR100 Grip Remote Control [Body only]", 3, 120, 120)</f>
        <v/>
      </c>
      <c r="D79" s="2" t="inlineStr">
        <is>
          <t>https://tse1.mm.bing.net/th?q=BURANO%20%28Sony%29%208K%20Digital%20Cinema%20Camera%20Kit%20with%20GP-VR100%20Grip%20Remote%20Control%20%5BBody%20only%5D</t>
        </is>
      </c>
      <c r="E79" s="2" t="inlineStr">
        <is>
          <t>https://gripsfilmsrentals.com/product/burano-sony-8k-digital-cinema-camera-kit-with-gp-vr100-grip-remote-control-body-only/</t>
        </is>
      </c>
      <c r="F79" s="2" t="inlineStr">
        <is>
          <t>https://gripsfilmsrentals.com/shop/</t>
        </is>
      </c>
      <c r="G79" s="8" t="inlineStr">
        <is>
          <t>Cameras</t>
        </is>
      </c>
      <c r="H79" s="8" t="inlineStr">
        <is>
          <t>Sony</t>
        </is>
      </c>
      <c r="I79" s="8" t="inlineStr">
        <is>
          <t>Sony</t>
        </is>
      </c>
      <c r="J79" s="9" t="inlineStr">
        <is>
          <t>8K, Cine, Cinema, Digital Cinema</t>
        </is>
      </c>
    </row>
    <row r="80" ht="125" customHeight="1">
      <c r="A80" s="2" t="inlineStr">
        <is>
          <t>DJI Ronin RS4 Pro Gimbal Stabilizer Combo</t>
        </is>
      </c>
      <c r="B80" s="3" t="n">
        <v>5000</v>
      </c>
      <c r="C80" s="4">
        <f>IMAGE("https://tse1.mm.bing.net/th?q=DJI%20Ronin%20RS4%20Pro%20Gimbal%20Stabilizer%20Combo", "DJI Ronin RS4 Pro Gimbal Stabilizer Combo", 3, 120, 120)</f>
        <v/>
      </c>
      <c r="D80" s="2" t="inlineStr">
        <is>
          <t>https://tse1.mm.bing.net/th?q=DJI%20Ronin%20RS4%20Pro%20Gimbal%20Stabilizer%20Combo</t>
        </is>
      </c>
      <c r="E80" s="2" t="inlineStr">
        <is>
          <t>https://gripsfilmsrentals.com/product/dji-ronin-rs4-pro-gimbal-stabilizer-combo/</t>
        </is>
      </c>
      <c r="F80" s="2" t="inlineStr">
        <is>
          <t>https://gripsfilmsrentals.com/shop/</t>
        </is>
      </c>
      <c r="G80" s="8" t="inlineStr">
        <is>
          <t>Stabilizers</t>
        </is>
      </c>
      <c r="H80" s="8" t="inlineStr">
        <is>
          <t>Gimbal / Stabilizer</t>
        </is>
      </c>
      <c r="I80" s="8" t="inlineStr">
        <is>
          <t>DJI</t>
        </is>
      </c>
      <c r="J80" s="9" t="inlineStr"/>
    </row>
    <row r="81" ht="125" customHeight="1">
      <c r="A81" s="2" t="inlineStr">
        <is>
          <t>Canon RC-IP100 Touchscreen PTZ Joystick Controller</t>
        </is>
      </c>
      <c r="B81" s="3" t="n">
        <v>4000</v>
      </c>
      <c r="C81" s="4">
        <f>IMAGE("https://tse1.mm.bing.net/th?q=Canon%20RC-IP100%20Touchscreen%20PTZ%20Joystick%20Controller", "Canon RC-IP100 Touchscreen PTZ Joystick Controller", 3, 120, 120)</f>
        <v/>
      </c>
      <c r="D81" s="2" t="inlineStr">
        <is>
          <t>https://tse1.mm.bing.net/th?q=Canon%20RC-IP100%20Touchscreen%20PTZ%20Joystick%20Controller</t>
        </is>
      </c>
      <c r="E81" s="2" t="inlineStr">
        <is>
          <t>https://gripsfilmsrentals.com/product/canon-rc-ip100-touchscreen-ptz-joystick-controller/</t>
        </is>
      </c>
      <c r="F81" s="2" t="inlineStr">
        <is>
          <t>https://gripsfilmsrentals.com/shop/</t>
        </is>
      </c>
      <c r="G81" s="8" t="inlineStr">
        <is>
          <t>Photography / Video Accessories</t>
        </is>
      </c>
      <c r="H81" s="8" t="inlineStr">
        <is>
          <t>Accessory</t>
        </is>
      </c>
      <c r="I81" s="8" t="inlineStr">
        <is>
          <t>Canon</t>
        </is>
      </c>
      <c r="J81" s="9" t="inlineStr"/>
    </row>
    <row r="82" ht="125" customHeight="1">
      <c r="A82" s="2" t="inlineStr">
        <is>
          <t>Canon CR-N500 Professional 4K NDI PTZ Camera with 15x Zoom</t>
        </is>
      </c>
      <c r="B82" s="3" t="n">
        <v>6000</v>
      </c>
      <c r="C82" s="4">
        <f>IMAGE("https://tse1.mm.bing.net/th?q=Canon%20CR-N500%20Professional%204K%20NDI%20PTZ%20Camera%20with%2015x%20Zoom", "Canon CR-N500 Professional 4K NDI PTZ Camera with 15x Zoom", 3, 120, 120)</f>
        <v/>
      </c>
      <c r="D82" s="2" t="inlineStr">
        <is>
          <t>https://tse1.mm.bing.net/th?q=Canon%20CR-N500%20Professional%204K%20NDI%20PTZ%20Camera%20with%2015x%20Zoom</t>
        </is>
      </c>
      <c r="E82" s="2" t="inlineStr">
        <is>
          <t>https://gripsfilmsrentals.com/product/canon-cr-n500-professional-4k-ndi-ptz-camera-with-15x-zoom/</t>
        </is>
      </c>
      <c r="F82" s="2" t="inlineStr">
        <is>
          <t>https://gripsfilmsrentals.com/shop/</t>
        </is>
      </c>
      <c r="G82" s="8" t="inlineStr">
        <is>
          <t>Cameras</t>
        </is>
      </c>
      <c r="H82" s="8" t="inlineStr">
        <is>
          <t>Canon</t>
        </is>
      </c>
      <c r="I82" s="8" t="inlineStr">
        <is>
          <t>Canon</t>
        </is>
      </c>
      <c r="J82" s="9" t="inlineStr">
        <is>
          <t>4K, 15x, NDI</t>
        </is>
      </c>
    </row>
    <row r="83" ht="125" customHeight="1">
      <c r="A83" s="2" t="inlineStr">
        <is>
          <t>Canon CR-N300 4K NDI PTZ Camera with 20x Zoom</t>
        </is>
      </c>
      <c r="B83" s="3" t="n">
        <v>4000</v>
      </c>
      <c r="C83" s="4">
        <f>IMAGE("https://tse1.mm.bing.net/th?q=Canon%20CR-N300%204K%20NDI%20PTZ%20Camera%20with%2020x%20Zoom", "Canon CR-N300 4K NDI PTZ Camera with 20x Zoom", 3, 120, 120)</f>
        <v/>
      </c>
      <c r="D83" s="2" t="inlineStr">
        <is>
          <t>https://tse1.mm.bing.net/th?q=Canon%20CR-N300%204K%20NDI%20PTZ%20Camera%20with%2020x%20Zoom</t>
        </is>
      </c>
      <c r="E83" s="2" t="inlineStr">
        <is>
          <t>https://gripsfilmsrentals.com/product/canon-cr-n300-4k-ndi-ptz-camera-with-20x-zoom/</t>
        </is>
      </c>
      <c r="F83" s="2" t="inlineStr">
        <is>
          <t>https://gripsfilmsrentals.com/shop/</t>
        </is>
      </c>
      <c r="G83" s="8" t="inlineStr">
        <is>
          <t>Cameras</t>
        </is>
      </c>
      <c r="H83" s="8" t="inlineStr">
        <is>
          <t>Canon</t>
        </is>
      </c>
      <c r="I83" s="8" t="inlineStr">
        <is>
          <t>Canon</t>
        </is>
      </c>
      <c r="J83" s="9" t="inlineStr">
        <is>
          <t>4K, 20x, NDI</t>
        </is>
      </c>
    </row>
    <row r="84" ht="125" customHeight="1">
      <c r="A84" s="2" t="inlineStr">
        <is>
          <t>DJI Osmo Pocket 3</t>
        </is>
      </c>
      <c r="B84" s="3" t="n">
        <v>2500</v>
      </c>
      <c r="C84" s="4">
        <f>IMAGE("https://tse1.mm.bing.net/th?q=DJI%20Osmo%20Pocket%203", "DJI Osmo Pocket 3", 3, 120, 120)</f>
        <v/>
      </c>
      <c r="D84" s="2" t="inlineStr">
        <is>
          <t>https://tse1.mm.bing.net/th?q=DJI%20Osmo%20Pocket%203</t>
        </is>
      </c>
      <c r="E84" s="2" t="inlineStr">
        <is>
          <t>https://gripsfilmsrentals.com/product/dji-osmo-pocket-3/</t>
        </is>
      </c>
      <c r="F84" s="2" t="inlineStr">
        <is>
          <t>https://gripsfilmsrentals.com/shop/</t>
        </is>
      </c>
      <c r="G84" s="8" t="inlineStr">
        <is>
          <t>Photography / Video Accessories</t>
        </is>
      </c>
      <c r="H84" s="8" t="inlineStr">
        <is>
          <t>Accessory</t>
        </is>
      </c>
      <c r="I84" s="8" t="inlineStr">
        <is>
          <t>DJI</t>
        </is>
      </c>
      <c r="J84" s="9" t="inlineStr"/>
    </row>
    <row r="85" ht="125" customHeight="1">
      <c r="A85" s="2" t="inlineStr">
        <is>
          <t>DJI Ronin RS3 Pro Gimbal Stabilizer Combo</t>
        </is>
      </c>
      <c r="B85" s="3" t="n">
        <v>4000</v>
      </c>
      <c r="C85" s="4">
        <f>IMAGE("https://tse1.mm.bing.net/th?q=DJI%20Ronin%20RS3%20Pro%20Gimbal%20Stabilizer%20Combo", "DJI Ronin RS3 Pro Gimbal Stabilizer Combo", 3, 120, 120)</f>
        <v/>
      </c>
      <c r="D85" s="2" t="inlineStr">
        <is>
          <t>https://tse1.mm.bing.net/th?q=DJI%20Ronin%20RS3%20Pro%20Gimbal%20Stabilizer%20Combo</t>
        </is>
      </c>
      <c r="E85" s="2" t="inlineStr">
        <is>
          <t>https://gripsfilmsrentals.com/product/dji-ronin-rs3-pro-gimbal-stabilizer-combo/</t>
        </is>
      </c>
      <c r="F85" s="2" t="inlineStr">
        <is>
          <t>https://gripsfilmsrentals.com/shop/</t>
        </is>
      </c>
      <c r="G85" s="8" t="inlineStr">
        <is>
          <t>Stabilizers</t>
        </is>
      </c>
      <c r="H85" s="8" t="inlineStr">
        <is>
          <t>Gimbal / Stabilizer</t>
        </is>
      </c>
      <c r="I85" s="8" t="inlineStr">
        <is>
          <t>DJI</t>
        </is>
      </c>
      <c r="J85" s="9" t="inlineStr"/>
    </row>
    <row r="86" ht="125" customHeight="1">
      <c r="A86" s="2" t="inlineStr">
        <is>
          <t>Aputure Spotlight Mount with Lens (19°, 26°, or 36°)</t>
        </is>
      </c>
      <c r="B86" s="3" t="n">
        <v>2500</v>
      </c>
      <c r="C86" s="4">
        <f>IMAGE("https://tse1.mm.bing.net/th?q=Aputure%20Spotlight%20Mount%20with%20Lens%20%2819%C2%B0%2C%2026%C2%B0%2C%20or%2036%C2%B0%29", "Aputure Spotlight Mount with Lens (19°, 26°, or 36°)", 3, 120, 120)</f>
        <v/>
      </c>
      <c r="D86" s="2" t="inlineStr">
        <is>
          <t>https://tse1.mm.bing.net/th?q=Aputure%20Spotlight%20Mount%20with%20Lens%20%2819%C2%B0%2C%2026%C2%B0%2C%20or%2036%C2%B0%29</t>
        </is>
      </c>
      <c r="E86" s="2" t="inlineStr">
        <is>
          <t>https://gripsfilmsrentals.com/product/aputure-spotlight-mount-with-lens-19--26--or-36/</t>
        </is>
      </c>
      <c r="F86" s="2" t="inlineStr">
        <is>
          <t>https://gripsfilmsrentals.com/shop/</t>
        </is>
      </c>
      <c r="G86" s="8" t="inlineStr">
        <is>
          <t>Modifiers</t>
        </is>
      </c>
      <c r="H86" s="8" t="inlineStr">
        <is>
          <t>Light Modifier</t>
        </is>
      </c>
      <c r="I86" s="8" t="inlineStr">
        <is>
          <t>Aputure</t>
        </is>
      </c>
      <c r="J86" s="9" t="inlineStr"/>
    </row>
    <row r="87" ht="125" customHeight="1">
      <c r="A87" s="2" t="inlineStr">
        <is>
          <t>Amaran P60c RGB LED Light Panel</t>
        </is>
      </c>
      <c r="B87" s="3" t="n">
        <v>1500</v>
      </c>
      <c r="C87" s="4">
        <f>IMAGE("https://tse1.mm.bing.net/th?q=Amaran%20P60c%20RGB%20LED%20Light%20Panel", "Amaran P60c RGB LED Light Panel", 3, 120, 120)</f>
        <v/>
      </c>
      <c r="D87" s="2" t="inlineStr">
        <is>
          <t>https://tse1.mm.bing.net/th?q=Amaran%20P60c%20RGB%20LED%20Light%20Panel</t>
        </is>
      </c>
      <c r="E87" s="2" t="inlineStr">
        <is>
          <t>https://gripsfilmsrentals.com/product/amaran-p60c-rgb-led-light-panel/</t>
        </is>
      </c>
      <c r="F87" s="2" t="inlineStr">
        <is>
          <t>https://gripsfilmsrentals.com/shop/</t>
        </is>
      </c>
      <c r="G87" s="8" t="inlineStr">
        <is>
          <t>Lights</t>
        </is>
      </c>
      <c r="H87" s="8" t="inlineStr">
        <is>
          <t>Continous lights</t>
        </is>
      </c>
      <c r="I87" s="8" t="inlineStr">
        <is>
          <t>Amaran</t>
        </is>
      </c>
      <c r="J87" s="9" t="inlineStr">
        <is>
          <t>RGB</t>
        </is>
      </c>
    </row>
    <row r="88" ht="125" customHeight="1">
      <c r="A88" s="2" t="inlineStr">
        <is>
          <t>Amaran 150c RGB LED Monolight</t>
        </is>
      </c>
      <c r="B88" s="3" t="n">
        <v>2000</v>
      </c>
      <c r="C88" s="4">
        <f>IMAGE("https://tse1.mm.bing.net/th?q=Amaran%20150c%20RGB%20LED%20Monolight", "Amaran 150c RGB LED Monolight", 3, 120, 120)</f>
        <v/>
      </c>
      <c r="D88" s="2" t="inlineStr">
        <is>
          <t>https://tse1.mm.bing.net/th?q=Amaran%20150c%20RGB%20LED%20Monolight</t>
        </is>
      </c>
      <c r="E88" s="2" t="inlineStr">
        <is>
          <t>https://gripsfilmsrentals.com/product/amaran-150c-rgb-led-monolight/</t>
        </is>
      </c>
      <c r="F88" s="2" t="inlineStr">
        <is>
          <t>https://gripsfilmsrentals.com/shop/</t>
        </is>
      </c>
      <c r="G88" s="8" t="inlineStr">
        <is>
          <t>Lights</t>
        </is>
      </c>
      <c r="H88" s="8" t="inlineStr">
        <is>
          <t>Continous lights</t>
        </is>
      </c>
      <c r="I88" s="8" t="inlineStr">
        <is>
          <t>Amaran</t>
        </is>
      </c>
      <c r="J88" s="9" t="inlineStr">
        <is>
          <t>RGB</t>
        </is>
      </c>
    </row>
    <row r="89" ht="125" customHeight="1">
      <c r="A89" s="2" t="inlineStr">
        <is>
          <t>amaran 300c RGB LED Monolight</t>
        </is>
      </c>
      <c r="B89" s="3" t="n">
        <v>3000</v>
      </c>
      <c r="C89" s="4">
        <f>IMAGE("https://tse1.mm.bing.net/th?q=amaran%20300c%20RGB%20LED%20Monolight", "amaran 300c RGB LED Monolight", 3, 120, 120)</f>
        <v/>
      </c>
      <c r="D89" s="2" t="inlineStr">
        <is>
          <t>https://tse1.mm.bing.net/th?q=amaran%20300c%20RGB%20LED%20Monolight</t>
        </is>
      </c>
      <c r="E89" s="2" t="inlineStr">
        <is>
          <t>https://gripsfilmsrentals.com/product/amaran-300c-rgb-led-monolight/</t>
        </is>
      </c>
      <c r="F89" s="2" t="inlineStr">
        <is>
          <t>https://gripsfilmsrentals.com/shop/</t>
        </is>
      </c>
      <c r="G89" s="8" t="inlineStr">
        <is>
          <t>Lights</t>
        </is>
      </c>
      <c r="H89" s="8" t="inlineStr">
        <is>
          <t>Continous lights</t>
        </is>
      </c>
      <c r="I89" s="8" t="inlineStr">
        <is>
          <t>Amaran</t>
        </is>
      </c>
      <c r="J89" s="9" t="inlineStr">
        <is>
          <t>RGB</t>
        </is>
      </c>
    </row>
    <row r="90" ht="125" customHeight="1">
      <c r="A90" s="2" t="inlineStr">
        <is>
          <t>DZOFilm VESPID Prime 7-Lens Kit V2 (PL &amp; EF Mounts)</t>
        </is>
      </c>
      <c r="B90" s="3" t="n">
        <v>35000</v>
      </c>
      <c r="C90" s="4">
        <f>IMAGE("https://tse1.mm.bing.net/th?q=DZOFilm%20VESPID%20Prime%207-Lens%20Kit%20V2%20%28PL%20%26%20EF%20Mounts%29", "DZOFilm VESPID Prime 7-Lens Kit V2 (PL &amp; EF Mounts)", 3, 120, 120)</f>
        <v/>
      </c>
      <c r="D90" s="2" t="inlineStr">
        <is>
          <t>https://tse1.mm.bing.net/th?q=DZOFilm%20VESPID%20Prime%207-Lens%20Kit%20V2%20%28PL%20%26%20EF%20Mounts%29</t>
        </is>
      </c>
      <c r="E90" s="2" t="inlineStr">
        <is>
          <t>https://gripsfilmsrentals.com/product/dzofilm-vespid-prime-7-lens-kit-v2-pl--ef-mounts/</t>
        </is>
      </c>
      <c r="F90" s="2" t="inlineStr">
        <is>
          <t>https://gripsfilmsrentals.com/shop/</t>
        </is>
      </c>
      <c r="G90" s="8" t="inlineStr">
        <is>
          <t>Lenses</t>
        </is>
      </c>
      <c r="H90" s="8" t="inlineStr">
        <is>
          <t>PL Mount</t>
        </is>
      </c>
      <c r="I90" s="8" t="inlineStr"/>
      <c r="J90" s="9" t="inlineStr"/>
    </row>
    <row r="91" ht="125" customHeight="1">
      <c r="A91" s="2" t="inlineStr">
        <is>
          <t>Photo Studio</t>
        </is>
      </c>
      <c r="B91" s="3" t="n">
        <v>500</v>
      </c>
      <c r="C91" s="4">
        <f>IMAGE("https://tse1.mm.bing.net/th?q=Photo%20Studio", "Photo Studio", 3, 120, 120)</f>
        <v/>
      </c>
      <c r="D91" s="2" t="inlineStr">
        <is>
          <t>https://tse1.mm.bing.net/th?q=Photo%20Studio</t>
        </is>
      </c>
      <c r="E91" s="2" t="inlineStr">
        <is>
          <t>https://gripsfilmsrentals.com/product/photo-studio/</t>
        </is>
      </c>
      <c r="F91" s="2" t="inlineStr">
        <is>
          <t>https://gripsfilmsrentals.com/shop/</t>
        </is>
      </c>
      <c r="G91" s="8" t="inlineStr">
        <is>
          <t>Spaces</t>
        </is>
      </c>
      <c r="H91" s="8" t="inlineStr">
        <is>
          <t>Studio / Backdrop</t>
        </is>
      </c>
      <c r="I91" s="8" t="inlineStr"/>
      <c r="J91" s="9" t="inlineStr"/>
    </row>
    <row r="92" ht="125" customHeight="1">
      <c r="A92" s="2" t="inlineStr">
        <is>
          <t>Zoom F6 (14-Track Multitrack Field Recorder)</t>
        </is>
      </c>
      <c r="B92" s="3" t="n">
        <v>4000</v>
      </c>
      <c r="C92" s="4">
        <f>IMAGE("https://tse1.mm.bing.net/th?q=Zoom%20F6%20%2814-Track%20Multitrack%20Field%20Recorder%29", "Zoom F6 (14-Track Multitrack Field Recorder)", 3, 120, 120)</f>
        <v/>
      </c>
      <c r="D92" s="2" t="inlineStr">
        <is>
          <t>https://tse1.mm.bing.net/th?q=Zoom%20F6%20%2814-Track%20Multitrack%20Field%20Recorder%29</t>
        </is>
      </c>
      <c r="E92" s="2" t="inlineStr">
        <is>
          <t>https://gripsfilmsrentals.com/product/zoom-f6-14-track-multitrack-field-recorder/</t>
        </is>
      </c>
      <c r="F92" s="2" t="inlineStr">
        <is>
          <t>https://gripsfilmsrentals.com/shop/</t>
        </is>
      </c>
      <c r="G92" s="8" t="inlineStr">
        <is>
          <t>Photography / Video Accessories</t>
        </is>
      </c>
      <c r="H92" s="8" t="inlineStr">
        <is>
          <t>Accessory</t>
        </is>
      </c>
      <c r="I92" s="8" t="inlineStr">
        <is>
          <t>Zoom</t>
        </is>
      </c>
      <c r="J92" s="9" t="inlineStr"/>
    </row>
    <row r="93" ht="125" customHeight="1">
      <c r="A93" s="2" t="inlineStr">
        <is>
          <t>Easyrig Vario5</t>
        </is>
      </c>
      <c r="B93" s="3" t="n">
        <v>20000</v>
      </c>
      <c r="C93" s="4">
        <f>IMAGE("https://tse1.mm.bing.net/th?q=Easyrig%20Vario5", "Easyrig Vario5", 3, 120, 120)</f>
        <v/>
      </c>
      <c r="D93" s="2" t="inlineStr">
        <is>
          <t>https://tse1.mm.bing.net/th?q=Easyrig%20Vario5</t>
        </is>
      </c>
      <c r="E93" s="2" t="inlineStr">
        <is>
          <t>https://gripsfilmsrentals.com/product/easyrig-vario5/</t>
        </is>
      </c>
      <c r="F93" s="2" t="inlineStr">
        <is>
          <t>https://gripsfilmsrentals.com/shop/</t>
        </is>
      </c>
      <c r="G93" s="8" t="inlineStr">
        <is>
          <t>Stabilizers</t>
        </is>
      </c>
      <c r="H93" s="8" t="inlineStr">
        <is>
          <t>Gimbal / Stabilizer</t>
        </is>
      </c>
      <c r="I93" s="8" t="inlineStr"/>
      <c r="J93" s="9" t="inlineStr"/>
    </row>
    <row r="94" ht="125" customHeight="1">
      <c r="A94" s="2" t="inlineStr">
        <is>
          <t>Nikon NIKKOR Z 100-400mm f/4.5-5.6 VR S Lens</t>
        </is>
      </c>
      <c r="B94" s="3" t="n">
        <v>3500</v>
      </c>
      <c r="C94" s="4">
        <f>IMAGE("https://tse1.mm.bing.net/th?q=Nikon%20NIKKOR%20Z%20100-400mm%20f/4.5-5.6%20VR%20S%20Lens", "Nikon NIKKOR Z 100-400mm f/4.5-5.6 VR S Lens", 3, 120, 120)</f>
        <v/>
      </c>
      <c r="D94" s="2" t="inlineStr">
        <is>
          <t>https://tse1.mm.bing.net/th?q=Nikon%20NIKKOR%20Z%20100-400mm%20f/4.5-5.6%20VR%20S%20Lens</t>
        </is>
      </c>
      <c r="E94" s="2" t="inlineStr">
        <is>
          <t>https://gripsfilmsrentals.com/product/nikon-nikkor-z-100-400mm-f-4-5-5-6-vr-s-lens/</t>
        </is>
      </c>
      <c r="F94" s="2" t="inlineStr">
        <is>
          <t>https://gripsfilmsrentals.com/shop/</t>
        </is>
      </c>
      <c r="G94" s="8" t="inlineStr">
        <is>
          <t>Lenses</t>
        </is>
      </c>
      <c r="H94" s="8" t="inlineStr">
        <is>
          <t>Nikon</t>
        </is>
      </c>
      <c r="I94" s="8" t="inlineStr">
        <is>
          <t>Nikon</t>
        </is>
      </c>
      <c r="J94" s="9" t="inlineStr">
        <is>
          <t>f/4.5, 100-400mm</t>
        </is>
      </c>
    </row>
    <row r="95" ht="125" customHeight="1">
      <c r="A95" s="2" t="inlineStr">
        <is>
          <t>Nikon NIKKOR Z 24-120mm f/4 S Lens (Nikon Z)</t>
        </is>
      </c>
      <c r="B95" s="3" t="n">
        <v>2000</v>
      </c>
      <c r="C95" s="4">
        <f>IMAGE("https://tse1.mm.bing.net/th?q=Nikon%20NIKKOR%20Z%2024-120mm%20f/4%20S%20Lens%20%28Nikon%20Z%29", "Nikon NIKKOR Z 24-120mm f/4 S Lens (Nikon Z)", 3, 120, 120)</f>
        <v/>
      </c>
      <c r="D95" s="2" t="inlineStr">
        <is>
          <t>https://tse1.mm.bing.net/th?q=Nikon%20NIKKOR%20Z%2024-120mm%20f/4%20S%20Lens%20%28Nikon%20Z%29</t>
        </is>
      </c>
      <c r="E95" s="2" t="inlineStr">
        <is>
          <t>https://gripsfilmsrentals.com/product/nikon-nikkor-z-24-120mm-f-4-s-lens-nikon-z/</t>
        </is>
      </c>
      <c r="F95" s="2" t="inlineStr">
        <is>
          <t>https://gripsfilmsrentals.com/shop/</t>
        </is>
      </c>
      <c r="G95" s="8" t="inlineStr">
        <is>
          <t>Lenses</t>
        </is>
      </c>
      <c r="H95" s="8" t="inlineStr">
        <is>
          <t>Nikon</t>
        </is>
      </c>
      <c r="I95" s="8" t="inlineStr">
        <is>
          <t>Nikon</t>
        </is>
      </c>
      <c r="J95" s="9" t="inlineStr">
        <is>
          <t>f/4, 24-120mm, Nikon Z</t>
        </is>
      </c>
    </row>
    <row r="96" ht="125" customHeight="1">
      <c r="A96" s="2" t="inlineStr">
        <is>
          <t>Nikon NIKKOR Z 70-200mm f/2.8 VR S Lens</t>
        </is>
      </c>
      <c r="B96" s="3" t="n">
        <v>2500</v>
      </c>
      <c r="C96" s="4">
        <f>IMAGE("https://tse1.mm.bing.net/th?q=Nikon%20NIKKOR%20Z%2070-200mm%20f/2.8%20VR%20S%20Lens", "Nikon NIKKOR Z 70-200mm f/2.8 VR S Lens", 3, 120, 120)</f>
        <v/>
      </c>
      <c r="D96" s="2" t="inlineStr">
        <is>
          <t>https://tse1.mm.bing.net/th?q=Nikon%20NIKKOR%20Z%2070-200mm%20f/2.8%20VR%20S%20Lens</t>
        </is>
      </c>
      <c r="E96" s="2" t="inlineStr">
        <is>
          <t>https://gripsfilmsrentals.com/product/nikon-nikkor-z-70-200mm-f-2-8-vr-s-lens/</t>
        </is>
      </c>
      <c r="F96" s="2" t="inlineStr">
        <is>
          <t>https://gripsfilmsrentals.com/shop/</t>
        </is>
      </c>
      <c r="G96" s="8" t="inlineStr">
        <is>
          <t>Lenses</t>
        </is>
      </c>
      <c r="H96" s="8" t="inlineStr">
        <is>
          <t>Nikon</t>
        </is>
      </c>
      <c r="I96" s="8" t="inlineStr">
        <is>
          <t>Nikon</t>
        </is>
      </c>
      <c r="J96" s="9" t="inlineStr">
        <is>
          <t>f/2.8, 70-200mm</t>
        </is>
      </c>
    </row>
    <row r="97" ht="125" customHeight="1">
      <c r="A97" s="2" t="inlineStr">
        <is>
          <t>Nikon NIKKOR Z 50mm f/1.8 S Lens</t>
        </is>
      </c>
      <c r="B97" s="3" t="n">
        <v>2000</v>
      </c>
      <c r="C97" s="4">
        <f>IMAGE("https://tse1.mm.bing.net/th?q=Nikon%20NIKKOR%20Z%2050mm%20f/1.8%20S%20Lens", "Nikon NIKKOR Z 50mm f/1.8 S Lens", 3, 120, 120)</f>
        <v/>
      </c>
      <c r="D97" s="2" t="inlineStr">
        <is>
          <t>https://tse1.mm.bing.net/th?q=Nikon%20NIKKOR%20Z%2050mm%20f/1.8%20S%20Lens</t>
        </is>
      </c>
      <c r="E97" s="2" t="inlineStr">
        <is>
          <t>https://gripsfilmsrentals.com/product/nikon-nikkor-z-50mm-f-1-8-s-lens/</t>
        </is>
      </c>
      <c r="F97" s="2" t="inlineStr">
        <is>
          <t>https://gripsfilmsrentals.com/shop/</t>
        </is>
      </c>
      <c r="G97" s="8" t="inlineStr">
        <is>
          <t>Lenses</t>
        </is>
      </c>
      <c r="H97" s="8" t="inlineStr">
        <is>
          <t>Nikon</t>
        </is>
      </c>
      <c r="I97" s="8" t="inlineStr">
        <is>
          <t>Nikon</t>
        </is>
      </c>
      <c r="J97" s="9" t="inlineStr">
        <is>
          <t>f/1.8, 50mm</t>
        </is>
      </c>
    </row>
    <row r="98" ht="125" customHeight="1">
      <c r="A98" s="2" t="inlineStr">
        <is>
          <t>Nikon NIKKOR Z 24-70mm f/2.8 S Lens for Mirrorless Cameras</t>
        </is>
      </c>
      <c r="B98" s="3" t="n">
        <v>2000</v>
      </c>
      <c r="C98" s="4">
        <f>IMAGE("https://tse1.mm.bing.net/th?q=Nikon%20NIKKOR%20Z%2024-70mm%20f/2.8%20S%20Lens%20for%20Mirrorless%20Cameras", "Nikon NIKKOR Z 24-70mm f/2.8 S Lens for Mirrorless Cameras", 3, 120, 120)</f>
        <v/>
      </c>
      <c r="D98" s="2" t="inlineStr">
        <is>
          <t>https://tse1.mm.bing.net/th?q=Nikon%20NIKKOR%20Z%2024-70mm%20f/2.8%20S%20Lens%20for%20Mirrorless%20Cameras</t>
        </is>
      </c>
      <c r="E98" s="2" t="inlineStr">
        <is>
          <t>https://gripsfilmsrentals.com/product/nikon-nikkor-z-24-70mm-f-2-8-s-lens-for-mirrorless-cameras/</t>
        </is>
      </c>
      <c r="F98" s="2" t="inlineStr">
        <is>
          <t>https://gripsfilmsrentals.com/shop/</t>
        </is>
      </c>
      <c r="G98" s="8" t="inlineStr">
        <is>
          <t>Lenses</t>
        </is>
      </c>
      <c r="H98" s="8" t="inlineStr">
        <is>
          <t>Nikon</t>
        </is>
      </c>
      <c r="I98" s="8" t="inlineStr">
        <is>
          <t>Nikon</t>
        </is>
      </c>
      <c r="J98" s="9" t="inlineStr">
        <is>
          <t>f/2.8, 24-70mm, Mirrorless</t>
        </is>
      </c>
    </row>
    <row r="99" ht="125" customHeight="1">
      <c r="A99" s="2" t="inlineStr">
        <is>
          <t>GoPro HERO12 Black</t>
        </is>
      </c>
      <c r="B99" s="3" t="n">
        <v>2500</v>
      </c>
      <c r="C99" s="4">
        <f>IMAGE("https://tse1.mm.bing.net/th?q=GoPro%20HERO12%20Black", "GoPro HERO12 Black", 3, 120, 120)</f>
        <v/>
      </c>
      <c r="D99" s="2" t="inlineStr">
        <is>
          <t>https://tse1.mm.bing.net/th?q=GoPro%20HERO12%20Black</t>
        </is>
      </c>
      <c r="E99" s="2" t="inlineStr">
        <is>
          <t>https://gripsfilmsrentals.com/product/gopro-hero12-black/</t>
        </is>
      </c>
      <c r="F99" s="2" t="inlineStr">
        <is>
          <t>https://gripsfilmsrentals.com/shop/</t>
        </is>
      </c>
      <c r="G99" s="8" t="inlineStr">
        <is>
          <t>Cameras</t>
        </is>
      </c>
      <c r="H99" s="8" t="inlineStr">
        <is>
          <t>Action Cameras</t>
        </is>
      </c>
      <c r="I99" s="8" t="inlineStr">
        <is>
          <t>GoPro</t>
        </is>
      </c>
      <c r="J99" s="9" t="inlineStr"/>
    </row>
    <row r="100" ht="125" customHeight="1">
      <c r="A100" s="2" t="inlineStr">
        <is>
          <t>DJI Air 3 Drone Fly More Combo with RC 2</t>
        </is>
      </c>
      <c r="B100" s="3" t="n">
        <v>14000</v>
      </c>
      <c r="C100" s="4">
        <f>IMAGE("https://tse1.mm.bing.net/th?q=DJI%20Air%203%20Drone%20Fly%20More%20Combo%20with%20RC%202", "DJI Air 3 Drone Fly More Combo with RC 2", 3, 120, 120)</f>
        <v/>
      </c>
      <c r="D100" s="2" t="inlineStr">
        <is>
          <t>https://tse1.mm.bing.net/th?q=DJI%20Air%203%20Drone%20Fly%20More%20Combo%20with%20RC%202</t>
        </is>
      </c>
      <c r="E100" s="2" t="inlineStr">
        <is>
          <t>https://gripsfilmsrentals.com/product/dji-air-3-drone-fly-more-combo-with-rc-2/</t>
        </is>
      </c>
      <c r="F100" s="2" t="inlineStr">
        <is>
          <t>https://gripsfilmsrentals.com/shop/</t>
        </is>
      </c>
      <c r="G100" s="8" t="inlineStr">
        <is>
          <t>Drones</t>
        </is>
      </c>
      <c r="H100" s="8" t="inlineStr">
        <is>
          <t>Drone</t>
        </is>
      </c>
      <c r="I100" s="8" t="inlineStr">
        <is>
          <t>DJI</t>
        </is>
      </c>
      <c r="J100" s="9" t="inlineStr"/>
    </row>
    <row r="101" ht="125" customHeight="1">
      <c r="A101" s="2" t="inlineStr">
        <is>
          <t>DJI Mavic 3 classic</t>
        </is>
      </c>
      <c r="B101" s="3" t="n">
        <v>10000</v>
      </c>
      <c r="C101" s="4">
        <f>IMAGE("https://tse1.mm.bing.net/th?q=DJI%20Mavic%203%20classic", "DJI Mavic 3 classic", 3, 120, 120)</f>
        <v/>
      </c>
      <c r="D101" s="2" t="inlineStr">
        <is>
          <t>https://tse1.mm.bing.net/th?q=DJI%20Mavic%203%20classic</t>
        </is>
      </c>
      <c r="E101" s="2" t="inlineStr">
        <is>
          <t>https://gripsfilmsrentals.com/product/dji-mavic-3-classic/</t>
        </is>
      </c>
      <c r="F101" s="2" t="inlineStr">
        <is>
          <t>https://gripsfilmsrentals.com/shop/</t>
        </is>
      </c>
      <c r="G101" s="8" t="inlineStr">
        <is>
          <t>Drones</t>
        </is>
      </c>
      <c r="H101" s="8" t="inlineStr">
        <is>
          <t>Drone</t>
        </is>
      </c>
      <c r="I101" s="8" t="inlineStr">
        <is>
          <t>DJI</t>
        </is>
      </c>
      <c r="J101" s="9" t="inlineStr"/>
    </row>
    <row r="102" ht="125" customHeight="1">
      <c r="A102" s="2" t="inlineStr">
        <is>
          <t>eMotimo Spectrum ST4 Pro Bundle + Dana Dolly Integration (V-Mount)</t>
        </is>
      </c>
      <c r="B102" s="3" t="n">
        <v>15000</v>
      </c>
      <c r="C102" s="4">
        <f>IMAGE("https://tse1.mm.bing.net/th?q=eMotimo%20Spectrum%20ST4%20Pro%20Bundle%20%2B%20Dana%20Dolly%20Integration%20%28V-Mount%29", "eMotimo Spectrum ST4 Pro Bundle + Dana Dolly Integration (V-Mount)", 3, 120, 120)</f>
        <v/>
      </c>
      <c r="D102" s="2" t="inlineStr">
        <is>
          <t>https://tse1.mm.bing.net/th?q=eMotimo%20Spectrum%20ST4%20Pro%20Bundle%20%2B%20Dana%20Dolly%20Integration%20%28V-Mount%29</t>
        </is>
      </c>
      <c r="E102" s="2" t="inlineStr">
        <is>
          <t>https://gripsfilmsrentals.com/product/emotimo-spectrum-st4-pro-bundle--dana-dolly-integration-v-mount/</t>
        </is>
      </c>
      <c r="F102" s="2" t="inlineStr">
        <is>
          <t>https://gripsfilmsrentals.com/shop/</t>
        </is>
      </c>
      <c r="G102" s="8" t="inlineStr">
        <is>
          <t>Batteries plus Chargers</t>
        </is>
      </c>
      <c r="H102" s="8" t="inlineStr">
        <is>
          <t>Battery / Charger</t>
        </is>
      </c>
      <c r="I102" s="8" t="inlineStr">
        <is>
          <t>eMotimo</t>
        </is>
      </c>
      <c r="J102" s="9" t="inlineStr">
        <is>
          <t>V-Mount</t>
        </is>
      </c>
    </row>
    <row r="103" ht="125" customHeight="1">
      <c r="A103" s="2" t="inlineStr">
        <is>
          <t>Dana Dolly Portable Dolly System Rental Kit</t>
        </is>
      </c>
      <c r="B103" s="3" t="n">
        <v>6000</v>
      </c>
      <c r="C103" s="4">
        <f>IMAGE("https://tse1.mm.bing.net/th?q=Dana%20Dolly%20Portable%20Dolly%20System%20Rental%20Kit", "Dana Dolly Portable Dolly System Rental Kit", 3, 120, 120)</f>
        <v/>
      </c>
      <c r="D103" s="2" t="inlineStr">
        <is>
          <t>https://tse1.mm.bing.net/th?q=Dana%20Dolly%20Portable%20Dolly%20System%20Rental%20Kit</t>
        </is>
      </c>
      <c r="E103" s="2" t="inlineStr">
        <is>
          <t>https://gripsfilmsrentals.com/product/dana-dolly-portable-dolly-system-rental-kit/</t>
        </is>
      </c>
      <c r="F103" s="2" t="inlineStr">
        <is>
          <t>https://gripsfilmsrentals.com/shop/</t>
        </is>
      </c>
      <c r="G103" s="8" t="inlineStr">
        <is>
          <t>Motion</t>
        </is>
      </c>
      <c r="H103" s="8" t="inlineStr">
        <is>
          <t>Dolly / Slider / Jib</t>
        </is>
      </c>
      <c r="I103" s="8" t="inlineStr"/>
      <c r="J103" s="9" t="inlineStr"/>
    </row>
    <row r="104" ht="125" customHeight="1">
      <c r="A104" s="2" t="inlineStr">
        <is>
          <t>Aputure LS 600x Pro Bi-Color LED Monolight (V-Mount)</t>
        </is>
      </c>
      <c r="B104" s="3" t="n">
        <v>7000</v>
      </c>
      <c r="C104" s="4">
        <f>IMAGE("https://tse1.mm.bing.net/th?q=Aputure%20LS%20600x%20Pro%20Bi-Color%20LED%20Monolight%20%28V-Mount%29", "Aputure LS 600x Pro Bi-Color LED Monolight (V-Mount)", 3, 120, 120)</f>
        <v/>
      </c>
      <c r="D104" s="2" t="inlineStr">
        <is>
          <t>https://tse1.mm.bing.net/th?q=Aputure%20LS%20600x%20Pro%20Bi-Color%20LED%20Monolight%20%28V-Mount%29</t>
        </is>
      </c>
      <c r="E104" s="2" t="inlineStr">
        <is>
          <t>https://gripsfilmsrentals.com/product/aputure-ls-600x-pro-bi-color-led-monolight-v-mount/</t>
        </is>
      </c>
      <c r="F104" s="2" t="inlineStr">
        <is>
          <t>https://gripsfilmsrentals.com/shop/</t>
        </is>
      </c>
      <c r="G104" s="8" t="inlineStr">
        <is>
          <t>Batteries plus Chargers</t>
        </is>
      </c>
      <c r="H104" s="8" t="inlineStr">
        <is>
          <t>Battery / Charger</t>
        </is>
      </c>
      <c r="I104" s="8" t="inlineStr">
        <is>
          <t>Aputure</t>
        </is>
      </c>
      <c r="J104" s="9" t="inlineStr">
        <is>
          <t>600x, V-Mount, Bi-Color</t>
        </is>
      </c>
    </row>
    <row r="105" ht="125" customHeight="1">
      <c r="A105" s="2" t="inlineStr">
        <is>
          <t>Aputure Nova P300c RGB LED Light Panel</t>
        </is>
      </c>
      <c r="B105" s="3" t="n">
        <v>3000</v>
      </c>
      <c r="C105" s="4">
        <f>IMAGE("https://tse1.mm.bing.net/th?q=Aputure%20Nova%20P300c%20RGB%20LED%20Light%20Panel", "Aputure Nova P300c RGB LED Light Panel", 3, 120, 120)</f>
        <v/>
      </c>
      <c r="D105" s="2" t="inlineStr">
        <is>
          <t>https://tse1.mm.bing.net/th?q=Aputure%20Nova%20P300c%20RGB%20LED%20Light%20Panel</t>
        </is>
      </c>
      <c r="E105" s="2" t="inlineStr">
        <is>
          <t>https://gripsfilmsrentals.com/product/aputure-nova-p300c-rgb-led-light-panel/</t>
        </is>
      </c>
      <c r="F105" s="2" t="inlineStr">
        <is>
          <t>https://gripsfilmsrentals.com/shop/</t>
        </is>
      </c>
      <c r="G105" s="8" t="inlineStr">
        <is>
          <t>Lights</t>
        </is>
      </c>
      <c r="H105" s="8" t="inlineStr">
        <is>
          <t>Continous lights</t>
        </is>
      </c>
      <c r="I105" s="8" t="inlineStr">
        <is>
          <t>Aputure</t>
        </is>
      </c>
      <c r="J105" s="9" t="inlineStr">
        <is>
          <t>RGB</t>
        </is>
      </c>
    </row>
    <row r="106" ht="125" customHeight="1">
      <c r="A106" s="2" t="inlineStr">
        <is>
          <t>Aputure Nova P600c RGB LED Light Panel</t>
        </is>
      </c>
      <c r="B106" s="3" t="n">
        <v>5000</v>
      </c>
      <c r="C106" s="4">
        <f>IMAGE("https://tse1.mm.bing.net/th?q=Aputure%20Nova%20P600c%20RGB%20LED%20Light%20Panel", "Aputure Nova P600c RGB LED Light Panel", 3, 120, 120)</f>
        <v/>
      </c>
      <c r="D106" s="2" t="inlineStr">
        <is>
          <t>https://tse1.mm.bing.net/th?q=Aputure%20Nova%20P600c%20RGB%20LED%20Light%20Panel</t>
        </is>
      </c>
      <c r="E106" s="2" t="inlineStr">
        <is>
          <t>https://gripsfilmsrentals.com/product/aputure-nova-p600c-rgb-led-light-panel/</t>
        </is>
      </c>
      <c r="F106" s="2" t="inlineStr">
        <is>
          <t>https://gripsfilmsrentals.com/shop/</t>
        </is>
      </c>
      <c r="G106" s="8" t="inlineStr">
        <is>
          <t>Lights</t>
        </is>
      </c>
      <c r="H106" s="8" t="inlineStr">
        <is>
          <t>Continous lights</t>
        </is>
      </c>
      <c r="I106" s="8" t="inlineStr">
        <is>
          <t>Aputure</t>
        </is>
      </c>
      <c r="J106" s="9" t="inlineStr">
        <is>
          <t>RGB</t>
        </is>
      </c>
    </row>
    <row r="107" ht="125" customHeight="1">
      <c r="A107" s="2" t="inlineStr">
        <is>
          <t>Aputure LS 600c Pro RGB LED Monolight (V-Mount)</t>
        </is>
      </c>
      <c r="B107" s="3" t="n">
        <v>8000</v>
      </c>
      <c r="C107" s="4">
        <f>IMAGE("https://tse1.mm.bing.net/th?q=Aputure%20LS%20600c%20Pro%20RGB%20LED%20Monolight%20%28V-Mount%29", "Aputure LS 600c Pro RGB LED Monolight (V-Mount)", 3, 120, 120)</f>
        <v/>
      </c>
      <c r="D107" s="2" t="inlineStr">
        <is>
          <t>https://tse1.mm.bing.net/th?q=Aputure%20LS%20600c%20Pro%20RGB%20LED%20Monolight%20%28V-Mount%29</t>
        </is>
      </c>
      <c r="E107" s="2" t="inlineStr">
        <is>
          <t>https://gripsfilmsrentals.com/product/aputure-ls-600c-pro-rgb-led-monolight-v-mount/</t>
        </is>
      </c>
      <c r="F107" s="2" t="inlineStr">
        <is>
          <t>https://gripsfilmsrentals.com/shop/</t>
        </is>
      </c>
      <c r="G107" s="8" t="inlineStr">
        <is>
          <t>Batteries plus Chargers</t>
        </is>
      </c>
      <c r="H107" s="8" t="inlineStr">
        <is>
          <t>Battery / Charger</t>
        </is>
      </c>
      <c r="I107" s="8" t="inlineStr">
        <is>
          <t>Aputure</t>
        </is>
      </c>
      <c r="J107" s="9" t="inlineStr">
        <is>
          <t>V-Mount, RGB</t>
        </is>
      </c>
    </row>
    <row r="108" ht="125" customHeight="1">
      <c r="A108" s="2" t="inlineStr">
        <is>
          <t>PORTKEYS BM5 III 5.5″ HDMI Touchscreen Monitor with Wired Camera Control</t>
        </is>
      </c>
      <c r="B108" s="3" t="n">
        <v>4000</v>
      </c>
      <c r="C108" s="4">
        <f>IMAGE("https://tse1.mm.bing.net/th?q=PORTKEYS%20BM5%20III%205.5%E2%80%B3%20HDMI%20Touchscreen%20Monitor%20with%20Wired%20Camera%20Control", "PORTKEYS BM5 III 5.5″ HDMI Touchscreen Monitor with Wired Camera Control", 3, 120, 120)</f>
        <v/>
      </c>
      <c r="D108" s="2" t="inlineStr">
        <is>
          <t>https://tse1.mm.bing.net/th?q=PORTKEYS%20BM5%20III%205.5%E2%80%B3%20HDMI%20Touchscreen%20Monitor%20with%20Wired%20Camera%20Control</t>
        </is>
      </c>
      <c r="E108" s="2" t="inlineStr">
        <is>
          <t>https://gripsfilmsrentals.com/product/portkeys-bm5-iii-5-5-hdmi-touchscreen-monitor-with-wired-camera-control/</t>
        </is>
      </c>
      <c r="F108" s="2" t="inlineStr">
        <is>
          <t>https://gripsfilmsrentals.com/shop/</t>
        </is>
      </c>
      <c r="G108" s="8" t="inlineStr">
        <is>
          <t>External Monitors</t>
        </is>
      </c>
      <c r="H108" s="8" t="inlineStr">
        <is>
          <t>External Monitor</t>
        </is>
      </c>
      <c r="I108" s="8" t="inlineStr">
        <is>
          <t>RED</t>
        </is>
      </c>
      <c r="J108" s="9" t="inlineStr">
        <is>
          <t>HDMI</t>
        </is>
      </c>
    </row>
    <row r="109" ht="125" customHeight="1">
      <c r="A109" s="2" t="inlineStr">
        <is>
          <t>RODE PodMic Microphone with Tabletop Stand &amp; XLR Cable Kit</t>
        </is>
      </c>
      <c r="B109" s="3" t="n">
        <v>1500</v>
      </c>
      <c r="C109" s="4">
        <f>IMAGE("https://tse1.mm.bing.net/th?q=RODE%20PodMic%20Microphone%20with%20Tabletop%20Stand%20%26%20XLR%20Cable%20Kit", "RODE PodMic Microphone with Tabletop Stand &amp; XLR Cable Kit", 3, 120, 120)</f>
        <v/>
      </c>
      <c r="D109" s="2" t="inlineStr">
        <is>
          <t>https://tse1.mm.bing.net/th?q=RODE%20PodMic%20Microphone%20with%20Tabletop%20Stand%20%26%20XLR%20Cable%20Kit</t>
        </is>
      </c>
      <c r="E109" s="2" t="inlineStr">
        <is>
          <t>https://gripsfilmsrentals.com/product/rode-podmic-microphone-with-tabletop-stand--xlr-cable-kit/</t>
        </is>
      </c>
      <c r="F109" s="2" t="inlineStr">
        <is>
          <t>https://gripsfilmsrentals.com/shop/</t>
        </is>
      </c>
      <c r="G109" s="8" t="inlineStr">
        <is>
          <t>Sound</t>
        </is>
      </c>
      <c r="H109" s="8" t="inlineStr">
        <is>
          <t>Microphone</t>
        </is>
      </c>
      <c r="I109" s="8" t="inlineStr">
        <is>
          <t>RODE</t>
        </is>
      </c>
      <c r="J109" s="9" t="inlineStr"/>
    </row>
    <row r="110" ht="125" customHeight="1">
      <c r="A110" s="2" t="inlineStr">
        <is>
          <t>RODE RODECaster Pro II Integrated Audio Production Studio</t>
        </is>
      </c>
      <c r="B110" s="3" t="n">
        <v>3000</v>
      </c>
      <c r="C110" s="4">
        <f>IMAGE("https://tse1.mm.bing.net/th?q=RODE%20RODECaster%20Pro%20II%20Integrated%20Audio%20Production%20Studio", "RODE RODECaster Pro II Integrated Audio Production Studio", 3, 120, 120)</f>
        <v/>
      </c>
      <c r="D110" s="2" t="inlineStr">
        <is>
          <t>https://tse1.mm.bing.net/th?q=RODE%20RODECaster%20Pro%20II%20Integrated%20Audio%20Production%20Studio</t>
        </is>
      </c>
      <c r="E110" s="2" t="inlineStr">
        <is>
          <t>https://gripsfilmsrentals.com/product/rode-rodecaster-pro-ii-integrated-audio-production-studio/</t>
        </is>
      </c>
      <c r="F110" s="2" t="inlineStr">
        <is>
          <t>https://gripsfilmsrentals.com/shop/</t>
        </is>
      </c>
      <c r="G110" s="8" t="inlineStr">
        <is>
          <t>Sound</t>
        </is>
      </c>
      <c r="H110" s="8" t="inlineStr">
        <is>
          <t>Microphone</t>
        </is>
      </c>
      <c r="I110" s="8" t="inlineStr">
        <is>
          <t>RODE</t>
        </is>
      </c>
      <c r="J110" s="9" t="inlineStr"/>
    </row>
    <row r="111" ht="125" customHeight="1">
      <c r="A111" s="2" t="inlineStr">
        <is>
          <t>Insta360 X4 360° Camera</t>
        </is>
      </c>
      <c r="B111" s="3" t="n">
        <v>3000</v>
      </c>
      <c r="C111" s="4">
        <f>IMAGE("https://tse1.mm.bing.net/th?q=Insta360%20X4%20360%C2%B0%20Camera", "Insta360 X4 360° Camera", 3, 120, 120)</f>
        <v/>
      </c>
      <c r="D111" s="2" t="inlineStr">
        <is>
          <t>https://tse1.mm.bing.net/th?q=Insta360%20X4%20360%C2%B0%20Camera</t>
        </is>
      </c>
      <c r="E111" s="2" t="inlineStr">
        <is>
          <t>https://gripsfilmsrentals.com/product/insta360-x4-360-camera/</t>
        </is>
      </c>
      <c r="F111" s="2" t="inlineStr">
        <is>
          <t>https://gripsfilmsrentals.com/shop/</t>
        </is>
      </c>
      <c r="G111" s="8" t="inlineStr">
        <is>
          <t>Cameras</t>
        </is>
      </c>
      <c r="H111" s="8" t="inlineStr">
        <is>
          <t>Other</t>
        </is>
      </c>
      <c r="I111" s="8" t="inlineStr">
        <is>
          <t>Insta360</t>
        </is>
      </c>
      <c r="J111" s="9" t="inlineStr"/>
    </row>
    <row r="112" ht="125" customHeight="1">
      <c r="A112" s="2" t="inlineStr">
        <is>
          <t>YoloLiv YoloBox Pro Portable Multi-Camera Encoder/Streamer, Switcher/Monitor &amp; Recorder</t>
        </is>
      </c>
      <c r="B112" s="3" t="n">
        <v>5000</v>
      </c>
      <c r="C112" s="4">
        <f>IMAGE("https://tse1.mm.bing.net/th?q=YoloLiv%20YoloBox%20Pro%20Portable%20Multi-Camera%20Encoder/Streamer%2C%20Switcher/Monitor%20%26%20Recorder", "YoloLiv YoloBox Pro Portable Multi-Camera Encoder/Streamer, Switcher/Monitor &amp; Recorder", 3, 120, 120)</f>
        <v/>
      </c>
      <c r="D112" s="2" t="inlineStr">
        <is>
          <t>https://tse1.mm.bing.net/th?q=YoloLiv%20YoloBox%20Pro%20Portable%20Multi-Camera%20Encoder/Streamer%2C%20Switcher/Monitor%20%26%20Recorder</t>
        </is>
      </c>
      <c r="E112" s="2" t="inlineStr">
        <is>
          <t>https://gripsfilmsrentals.com/product/yololiv-yolobox-pro-portable-multi-camera-encoder-streamer-switcher-monitor--recorder/</t>
        </is>
      </c>
      <c r="F112" s="2" t="inlineStr">
        <is>
          <t>https://gripsfilmsrentals.com/shop/</t>
        </is>
      </c>
      <c r="G112" s="8" t="inlineStr">
        <is>
          <t>Livestream/Switchers</t>
        </is>
      </c>
      <c r="H112" s="8" t="inlineStr">
        <is>
          <t>Switchers / Streaming</t>
        </is>
      </c>
      <c r="I112" s="8" t="inlineStr">
        <is>
          <t>YoloLiv</t>
        </is>
      </c>
      <c r="J112" s="9" t="inlineStr"/>
    </row>
    <row r="113" ht="125" customHeight="1">
      <c r="A113" s="2" t="inlineStr">
        <is>
          <t>Blackmagic Design Pocket Cinema Camera 4K</t>
        </is>
      </c>
      <c r="B113" s="3" t="n">
        <v>4000</v>
      </c>
      <c r="C113" s="4">
        <f>IMAGE("https://tse1.mm.bing.net/th?q=Blackmagic%20Design%20Pocket%20Cinema%20Camera%204K", "Blackmagic Design Pocket Cinema Camera 4K", 3, 120, 120)</f>
        <v/>
      </c>
      <c r="D113" s="2" t="inlineStr">
        <is>
          <t>https://tse1.mm.bing.net/th?q=Blackmagic%20Design%20Pocket%20Cinema%20Camera%204K</t>
        </is>
      </c>
      <c r="E113" s="2" t="inlineStr">
        <is>
          <t>https://gripsfilmsrentals.com/product/blackmagic-design-pocket-cinema-camera-4k/</t>
        </is>
      </c>
      <c r="F113" s="2" t="inlineStr">
        <is>
          <t>https://gripsfilmsrentals.com/shop/</t>
        </is>
      </c>
      <c r="G113" s="8" t="inlineStr">
        <is>
          <t>Cameras</t>
        </is>
      </c>
      <c r="H113" s="8" t="inlineStr">
        <is>
          <t>Black Magic</t>
        </is>
      </c>
      <c r="I113" s="8" t="inlineStr">
        <is>
          <t>Blackmagic</t>
        </is>
      </c>
      <c r="J113" s="9" t="inlineStr">
        <is>
          <t>4K, Cine, Cinema</t>
        </is>
      </c>
    </row>
    <row r="114" ht="125" customHeight="1">
      <c r="A114" s="2" t="inlineStr">
        <is>
          <t>Sigma 14-24mm f/2.8 DG HSM Art Lens for Canon EF</t>
        </is>
      </c>
      <c r="B114" s="3" t="n">
        <v>2000</v>
      </c>
      <c r="C114" s="4">
        <f>IMAGE("https://tse1.mm.bing.net/th?q=Sigma%2014-24mm%20f/2.8%20DG%20HSM%20Art%20Lens%20for%20Canon%20EF", "Sigma 14-24mm f/2.8 DG HSM Art Lens for Canon EF", 3, 120, 120)</f>
        <v/>
      </c>
      <c r="D114" s="2" t="inlineStr">
        <is>
          <t>https://tse1.mm.bing.net/th?q=Sigma%2014-24mm%20f/2.8%20DG%20HSM%20Art%20Lens%20for%20Canon%20EF</t>
        </is>
      </c>
      <c r="E114" s="2" t="inlineStr">
        <is>
          <t>https://gripsfilmsrentals.com/product/sigma-14-24mm-f-2-8-dg-hsm-art-lens-for-canon-ef/</t>
        </is>
      </c>
      <c r="F114" s="2" t="inlineStr">
        <is>
          <t>https://gripsfilmsrentals.com/shop/</t>
        </is>
      </c>
      <c r="G114" s="8" t="inlineStr">
        <is>
          <t>Lenses</t>
        </is>
      </c>
      <c r="H114" s="8" t="inlineStr">
        <is>
          <t>Canon</t>
        </is>
      </c>
      <c r="I114" s="8" t="inlineStr">
        <is>
          <t>Canon</t>
        </is>
      </c>
      <c r="J114" s="9" t="inlineStr">
        <is>
          <t>f/2.8, 14-24mm, Canon EF</t>
        </is>
      </c>
    </row>
    <row r="115" ht="125" customHeight="1">
      <c r="A115" s="2" t="inlineStr">
        <is>
          <t>Sigma 14-24mm f/2.8 DG HSM Art Lens for Nikon F</t>
        </is>
      </c>
      <c r="B115" s="3" t="n">
        <v>2000</v>
      </c>
      <c r="C115" s="4">
        <f>IMAGE("https://tse1.mm.bing.net/th?q=Sigma%2014-24mm%20f/2.8%20DG%20HSM%20Art%20Lens%20for%20Nikon%20F", "Sigma 14-24mm f/2.8 DG HSM Art Lens for Nikon F", 3, 120, 120)</f>
        <v/>
      </c>
      <c r="D115" s="2" t="inlineStr">
        <is>
          <t>https://tse1.mm.bing.net/th?q=Sigma%2014-24mm%20f/2.8%20DG%20HSM%20Art%20Lens%20for%20Nikon%20F</t>
        </is>
      </c>
      <c r="E115" s="2" t="inlineStr">
        <is>
          <t>https://gripsfilmsrentals.com/product/sigma-14-24mm-f-2-8-dg-hsm-art-lens-for-nikon-f/</t>
        </is>
      </c>
      <c r="F115" s="2" t="inlineStr">
        <is>
          <t>https://gripsfilmsrentals.com/shop/</t>
        </is>
      </c>
      <c r="G115" s="8" t="inlineStr">
        <is>
          <t>Lenses</t>
        </is>
      </c>
      <c r="H115" s="8" t="inlineStr">
        <is>
          <t>Nikon</t>
        </is>
      </c>
      <c r="I115" s="8" t="inlineStr">
        <is>
          <t>Nikon</t>
        </is>
      </c>
      <c r="J115" s="9" t="inlineStr">
        <is>
          <t>f/2.8, 14-24mm, Nikon F</t>
        </is>
      </c>
    </row>
    <row r="116" ht="125" customHeight="1">
      <c r="A116" s="2" t="inlineStr">
        <is>
          <t>Sigma 105mm f/1.4 DG HSM Art Lens for Sony E</t>
        </is>
      </c>
      <c r="B116" s="3" t="n">
        <v>2000</v>
      </c>
      <c r="C116" s="4">
        <f>IMAGE("https://tse1.mm.bing.net/th?q=Sigma%20105mm%20f/1.4%20DG%20HSM%20Art%20Lens%20for%20Sony%20E", "Sigma 105mm f/1.4 DG HSM Art Lens for Sony E", 3, 120, 120)</f>
        <v/>
      </c>
      <c r="D116" s="2" t="inlineStr">
        <is>
          <t>https://tse1.mm.bing.net/th?q=Sigma%20105mm%20f/1.4%20DG%20HSM%20Art%20Lens%20for%20Sony%20E</t>
        </is>
      </c>
      <c r="E116" s="2" t="inlineStr">
        <is>
          <t>https://gripsfilmsrentals.com/product/sigma-105mm-f-1-4-dg-hsm-art-lens-for-sony-e/</t>
        </is>
      </c>
      <c r="F116" s="2" t="inlineStr">
        <is>
          <t>https://gripsfilmsrentals.com/shop/</t>
        </is>
      </c>
      <c r="G116" s="8" t="inlineStr">
        <is>
          <t>Lenses</t>
        </is>
      </c>
      <c r="H116" s="8" t="inlineStr">
        <is>
          <t>Sony</t>
        </is>
      </c>
      <c r="I116" s="8" t="inlineStr">
        <is>
          <t>Sony</t>
        </is>
      </c>
      <c r="J116" s="9" t="inlineStr">
        <is>
          <t>f/1.4, 105mm, Sony E</t>
        </is>
      </c>
    </row>
    <row r="117" ht="125" customHeight="1">
      <c r="A117" s="2" t="inlineStr">
        <is>
          <t>Canon EF 24-105mm f/4L IS II USM Lens</t>
        </is>
      </c>
      <c r="B117" s="3" t="n">
        <v>1500</v>
      </c>
      <c r="C117" s="4">
        <f>IMAGE("https://tse1.mm.bing.net/th?q=Canon%20EF%2024-105mm%20f/4L%20IS%20II%20USM%20Lens", "Canon EF 24-105mm f/4L IS II USM Lens", 3, 120, 120)</f>
        <v/>
      </c>
      <c r="D117" s="2" t="inlineStr">
        <is>
          <t>https://tse1.mm.bing.net/th?q=Canon%20EF%2024-105mm%20f/4L%20IS%20II%20USM%20Lens</t>
        </is>
      </c>
      <c r="E117" s="2" t="inlineStr">
        <is>
          <t>https://gripsfilmsrentals.com/product/canon-ef-24-105mm-f-4l-is-ii-usm-lens/</t>
        </is>
      </c>
      <c r="F117" s="2" t="inlineStr">
        <is>
          <t>https://gripsfilmsrentals.com/shop/</t>
        </is>
      </c>
      <c r="G117" s="8" t="inlineStr">
        <is>
          <t>Lenses</t>
        </is>
      </c>
      <c r="H117" s="8" t="inlineStr">
        <is>
          <t>Canon</t>
        </is>
      </c>
      <c r="I117" s="8" t="inlineStr">
        <is>
          <t>Canon</t>
        </is>
      </c>
      <c r="J117" s="9" t="inlineStr">
        <is>
          <t>24-105mm, Canon EF</t>
        </is>
      </c>
    </row>
    <row r="118" ht="125" customHeight="1">
      <c r="A118" s="2" t="inlineStr">
        <is>
          <t>GoPro HERO10</t>
        </is>
      </c>
      <c r="B118" s="3" t="n">
        <v>2500</v>
      </c>
      <c r="C118" s="4">
        <f>IMAGE("https://tse1.mm.bing.net/th?q=GoPro%20HERO10", "GoPro HERO10", 3, 120, 120)</f>
        <v/>
      </c>
      <c r="D118" s="2" t="inlineStr">
        <is>
          <t>https://tse1.mm.bing.net/th?q=GoPro%20HERO10</t>
        </is>
      </c>
      <c r="E118" s="2" t="inlineStr">
        <is>
          <t>https://gripsfilmsrentals.com/product/gopro-hero10/</t>
        </is>
      </c>
      <c r="F118" s="2" t="inlineStr">
        <is>
          <t>https://gripsfilmsrentals.com/shop/</t>
        </is>
      </c>
      <c r="G118" s="8" t="inlineStr">
        <is>
          <t>Cameras</t>
        </is>
      </c>
      <c r="H118" s="8" t="inlineStr">
        <is>
          <t>Action Cameras</t>
        </is>
      </c>
      <c r="I118" s="8" t="inlineStr">
        <is>
          <t>GoPro</t>
        </is>
      </c>
      <c r="J118" s="9" t="inlineStr"/>
    </row>
    <row r="119" ht="125" customHeight="1">
      <c r="A119" s="2" t="inlineStr">
        <is>
          <t>GoPro HERO11</t>
        </is>
      </c>
      <c r="B119" s="3" t="n">
        <v>2500</v>
      </c>
      <c r="C119" s="4">
        <f>IMAGE("https://tse1.mm.bing.net/th?q=GoPro%20HERO11", "GoPro HERO11", 3, 120, 120)</f>
        <v/>
      </c>
      <c r="D119" s="2" t="inlineStr">
        <is>
          <t>https://tse1.mm.bing.net/th?q=GoPro%20HERO11</t>
        </is>
      </c>
      <c r="E119" s="2" t="inlineStr">
        <is>
          <t>https://gripsfilmsrentals.com/product/gopro-hero11/</t>
        </is>
      </c>
      <c r="F119" s="2" t="inlineStr">
        <is>
          <t>https://gripsfilmsrentals.com/shop/</t>
        </is>
      </c>
      <c r="G119" s="8" t="inlineStr">
        <is>
          <t>Cameras</t>
        </is>
      </c>
      <c r="H119" s="8" t="inlineStr">
        <is>
          <t>Action Cameras</t>
        </is>
      </c>
      <c r="I119" s="8" t="inlineStr">
        <is>
          <t>GoPro</t>
        </is>
      </c>
      <c r="J119" s="9" t="inlineStr"/>
    </row>
    <row r="120" ht="125" customHeight="1">
      <c r="A120" s="2" t="inlineStr">
        <is>
          <t>RODE NTG3 Moisture-Resistant Shotgun Microphone</t>
        </is>
      </c>
      <c r="B120" s="3" t="n">
        <v>2500</v>
      </c>
      <c r="C120" s="4">
        <f>IMAGE("https://tse1.mm.bing.net/th?q=RODE%20NTG3%20Moisture-Resistant%20Shotgun%20Microphone", "RODE NTG3 Moisture-Resistant Shotgun Microphone", 3, 120, 120)</f>
        <v/>
      </c>
      <c r="D120" s="2" t="inlineStr">
        <is>
          <t>https://tse1.mm.bing.net/th?q=RODE%20NTG3%20Moisture-Resistant%20Shotgun%20Microphone</t>
        </is>
      </c>
      <c r="E120" s="2" t="inlineStr">
        <is>
          <t>https://gripsfilmsrentals.com/product/rode-ntg3-moisture-resistant-shotgun-microphone/</t>
        </is>
      </c>
      <c r="F120" s="2" t="inlineStr">
        <is>
          <t>https://gripsfilmsrentals.com/shop/</t>
        </is>
      </c>
      <c r="G120" s="8" t="inlineStr">
        <is>
          <t>Sound</t>
        </is>
      </c>
      <c r="H120" s="8" t="inlineStr">
        <is>
          <t>Boom Mic</t>
        </is>
      </c>
      <c r="I120" s="8" t="inlineStr">
        <is>
          <t>RODE</t>
        </is>
      </c>
      <c r="J120" s="9" t="inlineStr"/>
    </row>
    <row r="121" ht="125" customHeight="1">
      <c r="A121" s="2" t="inlineStr">
        <is>
          <t>RODE NTG5 Shotgun Microphone / MKH416</t>
        </is>
      </c>
      <c r="B121" s="3" t="n">
        <v>2500</v>
      </c>
      <c r="C121" s="4">
        <f>IMAGE("https://tse1.mm.bing.net/th?q=RODE%20NTG5%20Shotgun%20Microphone%20/%20MKH416", "RODE NTG5 Shotgun Microphone / MKH416", 3, 120, 120)</f>
        <v/>
      </c>
      <c r="D121" s="2" t="inlineStr">
        <is>
          <t>https://tse1.mm.bing.net/th?q=RODE%20NTG5%20Shotgun%20Microphone%20/%20MKH416</t>
        </is>
      </c>
      <c r="E121" s="2" t="inlineStr">
        <is>
          <t>https://gripsfilmsrentals.com/product/rode-ntg5-shotgun-microphone--mkh416/</t>
        </is>
      </c>
      <c r="F121" s="2" t="inlineStr">
        <is>
          <t>https://gripsfilmsrentals.com/shop/</t>
        </is>
      </c>
      <c r="G121" s="8" t="inlineStr">
        <is>
          <t>Sound</t>
        </is>
      </c>
      <c r="H121" s="8" t="inlineStr">
        <is>
          <t>Boom Mic</t>
        </is>
      </c>
      <c r="I121" s="8" t="inlineStr">
        <is>
          <t>RODE</t>
        </is>
      </c>
      <c r="J121" s="9" t="inlineStr"/>
    </row>
    <row r="122" ht="125" customHeight="1">
      <c r="A122" s="2" t="inlineStr">
        <is>
          <t>Sony UWP-D27 2-Person Camera-Mount Wireless Omni Lavalier Microphone System</t>
        </is>
      </c>
      <c r="B122" s="3" t="n">
        <v>4000</v>
      </c>
      <c r="C122" s="4">
        <f>IMAGE("https://tse1.mm.bing.net/th?q=Sony%20UWP-D27%202-Person%20Camera-Mount%20Wireless%20Omni%20Lavalier%20Microphone%20System", "Sony UWP-D27 2-Person Camera-Mount Wireless Omni Lavalier Microphone System", 3, 120, 120)</f>
        <v/>
      </c>
      <c r="D122" s="2" t="inlineStr">
        <is>
          <t>https://tse1.mm.bing.net/th?q=Sony%20UWP-D27%202-Person%20Camera-Mount%20Wireless%20Omni%20Lavalier%20Microphone%20System</t>
        </is>
      </c>
      <c r="E122" s="2" t="inlineStr">
        <is>
          <t>https://gripsfilmsrentals.com/product/sony-uwp-d27-2-person-camera-mount-wireless-omni-lavalier-microphone-system/</t>
        </is>
      </c>
      <c r="F122" s="2" t="inlineStr">
        <is>
          <t>https://gripsfilmsrentals.com/shop/</t>
        </is>
      </c>
      <c r="G122" s="8" t="inlineStr">
        <is>
          <t>Sound</t>
        </is>
      </c>
      <c r="H122" s="8" t="inlineStr">
        <is>
          <t>Lapels</t>
        </is>
      </c>
      <c r="I122" s="8" t="inlineStr">
        <is>
          <t>Sony</t>
        </is>
      </c>
      <c r="J122" s="9" t="inlineStr">
        <is>
          <t>Wireless</t>
        </is>
      </c>
    </row>
    <row r="123" ht="125" customHeight="1">
      <c r="A123" s="2" t="inlineStr">
        <is>
          <t>Canon RF 24-105mm f/4 L IS USM Lens</t>
        </is>
      </c>
      <c r="B123" s="3" t="n">
        <v>2000</v>
      </c>
      <c r="C123" s="4">
        <f>IMAGE("https://tse1.mm.bing.net/th?q=Canon%20RF%2024-105mm%20f/4%20L%20IS%20USM%20Lens", "Canon RF 24-105mm f/4 L IS USM Lens", 3, 120, 120)</f>
        <v/>
      </c>
      <c r="D123" s="2" t="inlineStr">
        <is>
          <t>https://tse1.mm.bing.net/th?q=Canon%20RF%2024-105mm%20f/4%20L%20IS%20USM%20Lens</t>
        </is>
      </c>
      <c r="E123" s="2" t="inlineStr">
        <is>
          <t>https://gripsfilmsrentals.com/product/canon-rf-24-105mm-f-4-l-is-usm-lens/</t>
        </is>
      </c>
      <c r="F123" s="2" t="inlineStr">
        <is>
          <t>https://gripsfilmsrentals.com/shop/</t>
        </is>
      </c>
      <c r="G123" s="8" t="inlineStr">
        <is>
          <t>Lenses</t>
        </is>
      </c>
      <c r="H123" s="8" t="inlineStr">
        <is>
          <t>Canon</t>
        </is>
      </c>
      <c r="I123" s="8" t="inlineStr">
        <is>
          <t>Canon</t>
        </is>
      </c>
      <c r="J123" s="9" t="inlineStr">
        <is>
          <t>f/4, 24-105mm, Canon RF</t>
        </is>
      </c>
    </row>
    <row r="124" ht="125" customHeight="1">
      <c r="A124" s="2" t="inlineStr">
        <is>
          <t>AVMATRIX VS0601 Mini 6-Channel SDI/HDMI Multi-Format AV Switcher</t>
        </is>
      </c>
      <c r="B124" s="3" t="n">
        <v>10000</v>
      </c>
      <c r="C124" s="4">
        <f>IMAGE("https://tse1.mm.bing.net/th?q=AVMATRIX%20VS0601%20Mini%206-Channel%20SDI/HDMI%20Multi-Format%20AV%20Switcher", "AVMATRIX VS0601 Mini 6-Channel SDI/HDMI Multi-Format AV Switcher", 3, 120, 120)</f>
        <v/>
      </c>
      <c r="D124" s="2" t="inlineStr">
        <is>
          <t>https://tse1.mm.bing.net/th?q=AVMATRIX%20VS0601%20Mini%206-Channel%20SDI/HDMI%20Multi-Format%20AV%20Switcher</t>
        </is>
      </c>
      <c r="E124" s="2" t="inlineStr">
        <is>
          <t>https://gripsfilmsrentals.com/product/avmatrix-vs0601-mini-6-channel-sdi-hdmi-multi-format-av-switcher/</t>
        </is>
      </c>
      <c r="F124" s="2" t="inlineStr">
        <is>
          <t>https://gripsfilmsrentals.com/shop/</t>
        </is>
      </c>
      <c r="G124" s="8" t="inlineStr">
        <is>
          <t>Livestream/Switchers</t>
        </is>
      </c>
      <c r="H124" s="8" t="inlineStr">
        <is>
          <t>Switchers / Streaming</t>
        </is>
      </c>
      <c r="I124" s="8" t="inlineStr"/>
      <c r="J124" s="9" t="inlineStr">
        <is>
          <t>SDI, HDMI</t>
        </is>
      </c>
    </row>
    <row r="125" ht="125" customHeight="1">
      <c r="A125" s="2" t="inlineStr">
        <is>
          <t>Aputure LS 1200d Pro LED Light Kit</t>
        </is>
      </c>
      <c r="B125" s="3" t="n">
        <v>10000</v>
      </c>
      <c r="C125" s="4">
        <f>IMAGE("https://tse1.mm.bing.net/th?q=Aputure%20LS%201200d%20Pro%20LED%20Light%20Kit", "Aputure LS 1200d Pro LED Light Kit", 3, 120, 120)</f>
        <v/>
      </c>
      <c r="D125" s="2" t="inlineStr">
        <is>
          <t>https://tse1.mm.bing.net/th?q=Aputure%20LS%201200d%20Pro%20LED%20Light%20Kit</t>
        </is>
      </c>
      <c r="E125" s="2" t="inlineStr">
        <is>
          <t>https://gripsfilmsrentals.com/product/aputure-ls-1200d-pro-led-light-kit/</t>
        </is>
      </c>
      <c r="F125" s="2" t="inlineStr">
        <is>
          <t>https://gripsfilmsrentals.com/shop/</t>
        </is>
      </c>
      <c r="G125" s="8" t="inlineStr">
        <is>
          <t>Lights</t>
        </is>
      </c>
      <c r="H125" s="8" t="inlineStr">
        <is>
          <t>Continous lights</t>
        </is>
      </c>
      <c r="I125" s="8" t="inlineStr">
        <is>
          <t>Aputure</t>
        </is>
      </c>
      <c r="J125" s="9" t="inlineStr"/>
    </row>
    <row r="126" ht="125" customHeight="1">
      <c r="A126" s="2" t="inlineStr">
        <is>
          <t>Sony FE 200-600mm f/5.6-6.3</t>
        </is>
      </c>
      <c r="B126" s="3" t="n">
        <v>3500</v>
      </c>
      <c r="C126" s="4">
        <f>IMAGE("https://tse1.mm.bing.net/th?q=Sony%20FE%20200-600mm%20f/5.6-6.3", "Sony FE 200-600mm f/5.6-6.3", 3, 120, 120)</f>
        <v/>
      </c>
      <c r="D126" s="2" t="inlineStr">
        <is>
          <t>https://tse1.mm.bing.net/th?q=Sony%20FE%20200-600mm%20f/5.6-6.3</t>
        </is>
      </c>
      <c r="E126" s="2" t="inlineStr">
        <is>
          <t>https://gripsfilmsrentals.com/product/sony-fe-200-600mm-f-5-6-6-3/</t>
        </is>
      </c>
      <c r="F126" s="2" t="inlineStr">
        <is>
          <t>https://gripsfilmsrentals.com/shop/</t>
        </is>
      </c>
      <c r="G126" s="8" t="inlineStr">
        <is>
          <t>Lenses</t>
        </is>
      </c>
      <c r="H126" s="8" t="inlineStr">
        <is>
          <t>Sony</t>
        </is>
      </c>
      <c r="I126" s="8" t="inlineStr">
        <is>
          <t>Sony</t>
        </is>
      </c>
      <c r="J126" s="9" t="inlineStr">
        <is>
          <t>f/5.6, 200-600mm</t>
        </is>
      </c>
    </row>
    <row r="127" ht="125" customHeight="1">
      <c r="A127" s="2" t="inlineStr">
        <is>
          <t>Canon EOS R3 Mirrorless Camera (Body Only)</t>
        </is>
      </c>
      <c r="B127" s="3" t="n">
        <v>6000</v>
      </c>
      <c r="C127" s="4">
        <f>IMAGE("https://tse1.mm.bing.net/th?q=Canon%20EOS%20R3%20Mirrorless%20Camera%20%28Body%20Only%29", "Canon EOS R3 Mirrorless Camera (Body Only)", 3, 120, 120)</f>
        <v/>
      </c>
      <c r="D127" s="2" t="inlineStr">
        <is>
          <t>https://tse1.mm.bing.net/th?q=Canon%20EOS%20R3%20Mirrorless%20Camera%20%28Body%20Only%29</t>
        </is>
      </c>
      <c r="E127" s="2" t="inlineStr">
        <is>
          <t>https://gripsfilmsrentals.com/product/canon-eos-r3-mirrorless-camera-body-only/</t>
        </is>
      </c>
      <c r="F127" s="2" t="inlineStr">
        <is>
          <t>https://gripsfilmsrentals.com/shop/</t>
        </is>
      </c>
      <c r="G127" s="8" t="inlineStr">
        <is>
          <t>Cameras</t>
        </is>
      </c>
      <c r="H127" s="8" t="inlineStr">
        <is>
          <t>Canon</t>
        </is>
      </c>
      <c r="I127" s="8" t="inlineStr">
        <is>
          <t>Canon</t>
        </is>
      </c>
      <c r="J127" s="9" t="inlineStr">
        <is>
          <t>Mirrorless</t>
        </is>
      </c>
    </row>
    <row r="128" ht="125" customHeight="1">
      <c r="A128" s="2" t="inlineStr">
        <is>
          <t>Canon EOS R5 C Mirrorless Camera</t>
        </is>
      </c>
      <c r="B128" s="3" t="n">
        <v>7000</v>
      </c>
      <c r="C128" s="4">
        <f>IMAGE("https://tse1.mm.bing.net/th?q=Canon%20EOS%20R5%20C%20Mirrorless%20Camera", "Canon EOS R5 C Mirrorless Camera", 3, 120, 120)</f>
        <v/>
      </c>
      <c r="D128" s="2" t="inlineStr">
        <is>
          <t>https://tse1.mm.bing.net/th?q=Canon%20EOS%20R5%20C%20Mirrorless%20Camera</t>
        </is>
      </c>
      <c r="E128" s="2" t="inlineStr">
        <is>
          <t>https://gripsfilmsrentals.com/product/canon-eos-r5-c-mirrorless-camera/</t>
        </is>
      </c>
      <c r="F128" s="2" t="inlineStr">
        <is>
          <t>https://gripsfilmsrentals.com/shop/</t>
        </is>
      </c>
      <c r="G128" s="8" t="inlineStr">
        <is>
          <t>Cameras</t>
        </is>
      </c>
      <c r="H128" s="8" t="inlineStr">
        <is>
          <t>Canon</t>
        </is>
      </c>
      <c r="I128" s="8" t="inlineStr">
        <is>
          <t>Canon</t>
        </is>
      </c>
      <c r="J128" s="9" t="inlineStr">
        <is>
          <t>Mirrorless</t>
        </is>
      </c>
    </row>
    <row r="129" ht="125" customHeight="1">
      <c r="A129" s="2" t="inlineStr">
        <is>
          <t>360 photo booth</t>
        </is>
      </c>
      <c r="B129" s="3" t="n">
        <v>35000</v>
      </c>
      <c r="C129" s="4">
        <f>IMAGE("https://tse1.mm.bing.net/th?q=360%20photo%20booth", "360 photo booth", 3, 120, 120)</f>
        <v/>
      </c>
      <c r="D129" s="2" t="inlineStr">
        <is>
          <t>https://tse1.mm.bing.net/th?q=360%20photo%20booth</t>
        </is>
      </c>
      <c r="E129" s="2" t="inlineStr">
        <is>
          <t>https://gripsfilmsrentals.com/product/360-photo-booth/</t>
        </is>
      </c>
      <c r="F129" s="2" t="inlineStr">
        <is>
          <t>https://gripsfilmsrentals.com/shop/</t>
        </is>
      </c>
      <c r="G129" s="8" t="inlineStr">
        <is>
          <t>Photography / Video Accessories</t>
        </is>
      </c>
      <c r="H129" s="8" t="inlineStr">
        <is>
          <t>Accessory</t>
        </is>
      </c>
      <c r="I129" s="8" t="inlineStr"/>
      <c r="J129" s="9" t="inlineStr"/>
    </row>
    <row r="130" ht="125" customHeight="1">
      <c r="A130" s="2" t="inlineStr">
        <is>
          <t>Canon RF 24-70mm f/2.8 L IS USM Lens</t>
        </is>
      </c>
      <c r="B130" s="3" t="n">
        <v>2500</v>
      </c>
      <c r="C130" s="4">
        <f>IMAGE("https://tse1.mm.bing.net/th?q=Canon%20RF%2024-70mm%20f/2.8%20L%20IS%20USM%20Lens", "Canon RF 24-70mm f/2.8 L IS USM Lens", 3, 120, 120)</f>
        <v/>
      </c>
      <c r="D130" s="2" t="inlineStr">
        <is>
          <t>https://tse1.mm.bing.net/th?q=Canon%20RF%2024-70mm%20f/2.8%20L%20IS%20USM%20Lens</t>
        </is>
      </c>
      <c r="E130" s="2" t="inlineStr">
        <is>
          <t>https://gripsfilmsrentals.com/product/canon-rf-24-70mm-f-2-8-l-is-usm-lens/</t>
        </is>
      </c>
      <c r="F130" s="2" t="inlineStr">
        <is>
          <t>https://gripsfilmsrentals.com/shop/</t>
        </is>
      </c>
      <c r="G130" s="8" t="inlineStr">
        <is>
          <t>Lenses</t>
        </is>
      </c>
      <c r="H130" s="8" t="inlineStr">
        <is>
          <t>Canon</t>
        </is>
      </c>
      <c r="I130" s="8" t="inlineStr">
        <is>
          <t>Canon</t>
        </is>
      </c>
      <c r="J130" s="9" t="inlineStr">
        <is>
          <t>f/2.8, 24-70mm, Canon RF</t>
        </is>
      </c>
    </row>
    <row r="131" ht="125" customHeight="1">
      <c r="A131" s="2" t="inlineStr">
        <is>
          <t>Tilta Mirage VND Kit</t>
        </is>
      </c>
      <c r="B131" s="3" t="n"/>
      <c r="C131" s="4">
        <f>IMAGE("https://tse1.mm.bing.net/th?q=Tilta%20Mirage%20VND%20Kit", "Tilta Mirage VND Kit", 3, 120, 120)</f>
        <v/>
      </c>
      <c r="D131" s="2" t="inlineStr">
        <is>
          <t>https://tse1.mm.bing.net/th?q=Tilta%20Mirage%20VND%20Kit</t>
        </is>
      </c>
      <c r="E131" s="2" t="inlineStr">
        <is>
          <t>https://gripsfilmsrentals.com/product/tilta-mirage-vnd-kit/</t>
        </is>
      </c>
      <c r="F131" s="2" t="inlineStr">
        <is>
          <t>https://gripsfilmsrentals.com/shop/</t>
        </is>
      </c>
      <c r="G131" s="8" t="inlineStr">
        <is>
          <t>Photography / Video Accessories</t>
        </is>
      </c>
      <c r="H131" s="8" t="inlineStr">
        <is>
          <t>Accessory</t>
        </is>
      </c>
      <c r="I131" s="8" t="inlineStr">
        <is>
          <t>Tilta</t>
        </is>
      </c>
      <c r="J131" s="9" t="inlineStr"/>
    </row>
    <row r="132" ht="125" customHeight="1">
      <c r="A132" s="2" t="inlineStr">
        <is>
          <t>Blackmagic Design Video Assist 3G-SDI/HDMI 5″ Recorder/Monitor</t>
        </is>
      </c>
      <c r="B132" s="3" t="n">
        <v>4000</v>
      </c>
      <c r="C132" s="4">
        <f>IMAGE("https://tse1.mm.bing.net/th?q=Blackmagic%20Design%20Video%20Assist%203G-SDI/HDMI%205%E2%80%B3%20Recorder/Monitor", "Blackmagic Design Video Assist 3G-SDI/HDMI 5″ Recorder/Monitor", 3, 120, 120)</f>
        <v/>
      </c>
      <c r="D132" s="2" t="inlineStr">
        <is>
          <t>https://tse1.mm.bing.net/th?q=Blackmagic%20Design%20Video%20Assist%203G-SDI/HDMI%205%E2%80%B3%20Recorder/Monitor</t>
        </is>
      </c>
      <c r="E132" s="2" t="inlineStr">
        <is>
          <t>https://gripsfilmsrentals.com/product/blackmagic-design-video-assist-3g-sdi-hdmi-5-recorder-monitor/</t>
        </is>
      </c>
      <c r="F132" s="2" t="inlineStr">
        <is>
          <t>https://gripsfilmsrentals.com/shop/</t>
        </is>
      </c>
      <c r="G132" s="8" t="inlineStr">
        <is>
          <t>External Monitors</t>
        </is>
      </c>
      <c r="H132" s="8" t="inlineStr">
        <is>
          <t>External Monitor</t>
        </is>
      </c>
      <c r="I132" s="8" t="inlineStr">
        <is>
          <t>Blackmagic</t>
        </is>
      </c>
      <c r="J132" s="9" t="inlineStr">
        <is>
          <t>3G, SDI, HDMI</t>
        </is>
      </c>
    </row>
    <row r="133" ht="125" customHeight="1">
      <c r="A133" s="2" t="inlineStr">
        <is>
          <t>Sony a7 IV Mirrorless Camera</t>
        </is>
      </c>
      <c r="B133" s="3" t="n">
        <v>5000</v>
      </c>
      <c r="C133" s="4">
        <f>IMAGE("https://tse1.mm.bing.net/th?q=Sony%20a7%20IV%20Mirrorless%20Camera", "Sony a7 IV Mirrorless Camera", 3, 120, 120)</f>
        <v/>
      </c>
      <c r="D133" s="2" t="inlineStr">
        <is>
          <t>https://tse1.mm.bing.net/th?q=Sony%20a7%20IV%20Mirrorless%20Camera</t>
        </is>
      </c>
      <c r="E133" s="2" t="inlineStr">
        <is>
          <t>https://gripsfilmsrentals.com/product/sony-a7-iv-mirrorless-camera/</t>
        </is>
      </c>
      <c r="F133" s="2" t="inlineStr">
        <is>
          <t>https://gripsfilmsrentals.com/shop/</t>
        </is>
      </c>
      <c r="G133" s="8" t="inlineStr">
        <is>
          <t>Cameras</t>
        </is>
      </c>
      <c r="H133" s="8" t="inlineStr">
        <is>
          <t>Sony</t>
        </is>
      </c>
      <c r="I133" s="8" t="inlineStr">
        <is>
          <t>Sony</t>
        </is>
      </c>
      <c r="J133" s="9" t="inlineStr">
        <is>
          <t>Mirrorless</t>
        </is>
      </c>
    </row>
    <row r="134" ht="125" customHeight="1">
      <c r="A134" s="2" t="inlineStr">
        <is>
          <t>Sony FE 24mm f/1.4 GM Lens</t>
        </is>
      </c>
      <c r="B134" s="3" t="n">
        <v>1500</v>
      </c>
      <c r="C134" s="4">
        <f>IMAGE("https://tse1.mm.bing.net/th?q=Sony%20FE%2024mm%20f/1.4%20GM%20Lens", "Sony FE 24mm f/1.4 GM Lens", 3, 120, 120)</f>
        <v/>
      </c>
      <c r="D134" s="2" t="inlineStr">
        <is>
          <t>https://tse1.mm.bing.net/th?q=Sony%20FE%2024mm%20f/1.4%20GM%20Lens</t>
        </is>
      </c>
      <c r="E134" s="2" t="inlineStr">
        <is>
          <t>https://gripsfilmsrentals.com/product/sony-fe-24mm-f-1-4-gm-lens/</t>
        </is>
      </c>
      <c r="F134" s="2" t="inlineStr">
        <is>
          <t>https://gripsfilmsrentals.com/shop/</t>
        </is>
      </c>
      <c r="G134" s="8" t="inlineStr">
        <is>
          <t>Lenses</t>
        </is>
      </c>
      <c r="H134" s="8" t="inlineStr">
        <is>
          <t>Sony</t>
        </is>
      </c>
      <c r="I134" s="8" t="inlineStr">
        <is>
          <t>Sony</t>
        </is>
      </c>
      <c r="J134" s="9" t="inlineStr">
        <is>
          <t>f/1.4, 24mm</t>
        </is>
      </c>
    </row>
    <row r="135" ht="125" customHeight="1">
      <c r="A135" s="2" t="inlineStr">
        <is>
          <t>Blackmagic Design ATEM Mini Extreme ISO</t>
        </is>
      </c>
      <c r="B135" s="3" t="n">
        <v>9000</v>
      </c>
      <c r="C135" s="4">
        <f>IMAGE("https://tse1.mm.bing.net/th?q=Blackmagic%20Design%20ATEM%20Mini%20Extreme%20ISO", "Blackmagic Design ATEM Mini Extreme ISO", 3, 120, 120)</f>
        <v/>
      </c>
      <c r="D135" s="2" t="inlineStr">
        <is>
          <t>https://tse1.mm.bing.net/th?q=Blackmagic%20Design%20ATEM%20Mini%20Extreme%20ISO</t>
        </is>
      </c>
      <c r="E135" s="2" t="inlineStr">
        <is>
          <t>https://gripsfilmsrentals.com/product/blackmagic-design-atem-mini-extreme-iso/</t>
        </is>
      </c>
      <c r="F135" s="2" t="inlineStr">
        <is>
          <t>https://gripsfilmsrentals.com/shop/</t>
        </is>
      </c>
      <c r="G135" s="8" t="inlineStr">
        <is>
          <t>Livestream/Switchers</t>
        </is>
      </c>
      <c r="H135" s="8" t="inlineStr">
        <is>
          <t>Switchers / Streaming</t>
        </is>
      </c>
      <c r="I135" s="8" t="inlineStr">
        <is>
          <t>Blackmagic</t>
        </is>
      </c>
      <c r="J135" s="9" t="inlineStr"/>
    </row>
    <row r="136" ht="125" customHeight="1">
      <c r="A136" s="2" t="inlineStr">
        <is>
          <t>Sigma 150-600mm f/5-6.3 DG DN OS Sports Lens for Sony E</t>
        </is>
      </c>
      <c r="B136" s="3" t="n">
        <v>3500</v>
      </c>
      <c r="C136" s="4">
        <f>IMAGE("https://tse1.mm.bing.net/th?q=Sigma%20150-600mm%20f/5-6.3%20DG%20DN%20OS%20Sports%20Lens%20for%20Sony%20E", "Sigma 150-600mm f/5-6.3 DG DN OS Sports Lens for Sony E", 3, 120, 120)</f>
        <v/>
      </c>
      <c r="D136" s="2" t="inlineStr">
        <is>
          <t>https://tse1.mm.bing.net/th?q=Sigma%20150-600mm%20f/5-6.3%20DG%20DN%20OS%20Sports%20Lens%20for%20Sony%20E</t>
        </is>
      </c>
      <c r="E136" s="2" t="inlineStr">
        <is>
          <t>https://gripsfilmsrentals.com/product/sigma-150-600mm-f-5-6-3-dg-dn-os-sports-lens-for-sony-e/</t>
        </is>
      </c>
      <c r="F136" s="2" t="inlineStr">
        <is>
          <t>https://gripsfilmsrentals.com/shop/</t>
        </is>
      </c>
      <c r="G136" s="8" t="inlineStr">
        <is>
          <t>Lenses</t>
        </is>
      </c>
      <c r="H136" s="8" t="inlineStr">
        <is>
          <t>Sony</t>
        </is>
      </c>
      <c r="I136" s="8" t="inlineStr">
        <is>
          <t>Sony</t>
        </is>
      </c>
      <c r="J136" s="9" t="inlineStr">
        <is>
          <t>f/5, 150-600mm, Sony E</t>
        </is>
      </c>
    </row>
    <row r="137" ht="125" customHeight="1">
      <c r="A137" s="2" t="inlineStr">
        <is>
          <t>Sigma 24-70mm f/2.8 DG DN Art Lens for Sony E</t>
        </is>
      </c>
      <c r="B137" s="3" t="n">
        <v>1500</v>
      </c>
      <c r="C137" s="4">
        <f>IMAGE("https://tse1.mm.bing.net/th?q=Sigma%2024-70mm%20f/2.8%20DG%20DN%20Art%20Lens%20for%20Sony%20E", "Sigma 24-70mm f/2.8 DG DN Art Lens for Sony E", 3, 120, 120)</f>
        <v/>
      </c>
      <c r="D137" s="2" t="inlineStr">
        <is>
          <t>https://tse1.mm.bing.net/th?q=Sigma%2024-70mm%20f/2.8%20DG%20DN%20Art%20Lens%20for%20Sony%20E</t>
        </is>
      </c>
      <c r="E137" s="2" t="inlineStr">
        <is>
          <t>https://gripsfilmsrentals.com/product/sigma-24-70mm-f-2-8-dg-dn-art-lens-for-sony-e/</t>
        </is>
      </c>
      <c r="F137" s="2" t="inlineStr">
        <is>
          <t>https://gripsfilmsrentals.com/shop/</t>
        </is>
      </c>
      <c r="G137" s="8" t="inlineStr">
        <is>
          <t>Lenses</t>
        </is>
      </c>
      <c r="H137" s="8" t="inlineStr">
        <is>
          <t>Sony</t>
        </is>
      </c>
      <c r="I137" s="8" t="inlineStr">
        <is>
          <t>Sony</t>
        </is>
      </c>
      <c r="J137" s="9" t="inlineStr">
        <is>
          <t>f/2.8, 24-70mm, Sony E</t>
        </is>
      </c>
    </row>
    <row r="138" ht="125" customHeight="1">
      <c r="A138" s="2" t="inlineStr">
        <is>
          <t>Canon RF 100-500mm f/4.5-7.1L IS USM Lens</t>
        </is>
      </c>
      <c r="B138" s="3" t="n">
        <v>3000</v>
      </c>
      <c r="C138" s="4">
        <f>IMAGE("https://tse1.mm.bing.net/th?q=Canon%20RF%20100-500mm%20f/4.5-7.1L%20IS%20USM%20Lens", "Canon RF 100-500mm f/4.5-7.1L IS USM Lens", 3, 120, 120)</f>
        <v/>
      </c>
      <c r="D138" s="2" t="inlineStr">
        <is>
          <t>https://tse1.mm.bing.net/th?q=Canon%20RF%20100-500mm%20f/4.5-7.1L%20IS%20USM%20Lens</t>
        </is>
      </c>
      <c r="E138" s="2" t="inlineStr">
        <is>
          <t>https://gripsfilmsrentals.com/product/canon-rf-100-500mm-f-4-5-7-1l-is-usm-lens/</t>
        </is>
      </c>
      <c r="F138" s="2" t="inlineStr">
        <is>
          <t>https://gripsfilmsrentals.com/shop/</t>
        </is>
      </c>
      <c r="G138" s="8" t="inlineStr">
        <is>
          <t>Lenses</t>
        </is>
      </c>
      <c r="H138" s="8" t="inlineStr">
        <is>
          <t>Canon</t>
        </is>
      </c>
      <c r="I138" s="8" t="inlineStr">
        <is>
          <t>Canon</t>
        </is>
      </c>
      <c r="J138" s="9" t="inlineStr">
        <is>
          <t>f/4.5, 100-500mm, Canon RF</t>
        </is>
      </c>
    </row>
    <row r="139" ht="125" customHeight="1">
      <c r="A139" s="2" t="inlineStr">
        <is>
          <t>Canon RF 15-35mm f/2.8L IS USM Lens</t>
        </is>
      </c>
      <c r="B139" s="3" t="n">
        <v>2000</v>
      </c>
      <c r="C139" s="4">
        <f>IMAGE("https://tse1.mm.bing.net/th?q=Canon%20RF%2015-35mm%20f/2.8L%20IS%20USM%20Lens", "Canon RF 15-35mm f/2.8L IS USM Lens", 3, 120, 120)</f>
        <v/>
      </c>
      <c r="D139" s="2" t="inlineStr">
        <is>
          <t>https://tse1.mm.bing.net/th?q=Canon%20RF%2015-35mm%20f/2.8L%20IS%20USM%20Lens</t>
        </is>
      </c>
      <c r="E139" s="2" t="inlineStr">
        <is>
          <t>https://gripsfilmsrentals.com/product/canon-rf-15-35mm-f-2-8l-is-usm-lens/</t>
        </is>
      </c>
      <c r="F139" s="2" t="inlineStr">
        <is>
          <t>https://gripsfilmsrentals.com/shop/</t>
        </is>
      </c>
      <c r="G139" s="8" t="inlineStr">
        <is>
          <t>Lenses</t>
        </is>
      </c>
      <c r="H139" s="8" t="inlineStr">
        <is>
          <t>Canon</t>
        </is>
      </c>
      <c r="I139" s="8" t="inlineStr">
        <is>
          <t>Canon</t>
        </is>
      </c>
      <c r="J139" s="9" t="inlineStr">
        <is>
          <t>f/2, 15-35mm, Canon RF</t>
        </is>
      </c>
    </row>
    <row r="140" ht="125" customHeight="1">
      <c r="A140" s="2" t="inlineStr">
        <is>
          <t>Sony FX6 Digital Cinema Camera (Body only)</t>
        </is>
      </c>
      <c r="B140" s="3" t="n">
        <v>8500</v>
      </c>
      <c r="C140" s="4">
        <f>IMAGE("https://tse1.mm.bing.net/th?q=Sony%20FX6%20Digital%20Cinema%20Camera%20%28Body%20only%29", "Sony FX6 Digital Cinema Camera (Body only)", 3, 120, 120)</f>
        <v/>
      </c>
      <c r="D140" s="2" t="inlineStr">
        <is>
          <t>https://tse1.mm.bing.net/th?q=Sony%20FX6%20Digital%20Cinema%20Camera%20%28Body%20only%29</t>
        </is>
      </c>
      <c r="E140" s="2" t="inlineStr">
        <is>
          <t>https://gripsfilmsrentals.com/product/sony-fx6-digital-cinema-camera-body-only/</t>
        </is>
      </c>
      <c r="F140" s="2" t="inlineStr">
        <is>
          <t>https://gripsfilmsrentals.com/shop/</t>
        </is>
      </c>
      <c r="G140" s="8" t="inlineStr">
        <is>
          <t>Cameras</t>
        </is>
      </c>
      <c r="H140" s="8" t="inlineStr">
        <is>
          <t>Sony</t>
        </is>
      </c>
      <c r="I140" s="8" t="inlineStr">
        <is>
          <t>Sony</t>
        </is>
      </c>
      <c r="J140" s="9" t="inlineStr">
        <is>
          <t>Cine, Cinema, Digital Cinema</t>
        </is>
      </c>
    </row>
    <row r="141" ht="125" customHeight="1">
      <c r="A141" s="2" t="inlineStr">
        <is>
          <t>Sony FX3 Full-Frame Cinema Camera</t>
        </is>
      </c>
      <c r="B141" s="3" t="n">
        <v>7000</v>
      </c>
      <c r="C141" s="4">
        <f>IMAGE("https://tse1.mm.bing.net/th?q=Sony%20FX3%20Full-Frame%20Cinema%20Camera", "Sony FX3 Full-Frame Cinema Camera", 3, 120, 120)</f>
        <v/>
      </c>
      <c r="D141" s="2" t="inlineStr">
        <is>
          <t>https://tse1.mm.bing.net/th?q=Sony%20FX3%20Full-Frame%20Cinema%20Camera</t>
        </is>
      </c>
      <c r="E141" s="2" t="inlineStr">
        <is>
          <t>https://gripsfilmsrentals.com/product/sony-fx3-full-frame-cinema-camera/</t>
        </is>
      </c>
      <c r="F141" s="2" t="inlineStr">
        <is>
          <t>https://gripsfilmsrentals.com/shop/</t>
        </is>
      </c>
      <c r="G141" s="8" t="inlineStr">
        <is>
          <t>Cameras</t>
        </is>
      </c>
      <c r="H141" s="8" t="inlineStr">
        <is>
          <t>Sony</t>
        </is>
      </c>
      <c r="I141" s="8" t="inlineStr">
        <is>
          <t>Sony</t>
        </is>
      </c>
      <c r="J141" s="9" t="inlineStr">
        <is>
          <t>Full-Frame, Cine, Cinema</t>
        </is>
      </c>
    </row>
    <row r="142" ht="125" customHeight="1">
      <c r="A142" s="2" t="inlineStr">
        <is>
          <t>SmallHD Cine 24″ 4K High Bright Pro Monitor</t>
        </is>
      </c>
      <c r="B142" s="3" t="n">
        <v>15000</v>
      </c>
      <c r="C142" s="4">
        <f>IMAGE("https://tse1.mm.bing.net/th?q=SmallHD%20Cine%2024%E2%80%B3%204K%20High%20Bright%20Pro%20Monitor", "SmallHD Cine 24″ 4K High Bright Pro Monitor", 3, 120, 120)</f>
        <v/>
      </c>
      <c r="D142" s="2" t="inlineStr">
        <is>
          <t>https://tse1.mm.bing.net/th?q=SmallHD%20Cine%2024%E2%80%B3%204K%20High%20Bright%20Pro%20Monitor</t>
        </is>
      </c>
      <c r="E142" s="2" t="inlineStr">
        <is>
          <t>https://gripsfilmsrentals.com/product/smallhd-cine-24-4k-high-bright-pro-monitor/</t>
        </is>
      </c>
      <c r="F142" s="2" t="inlineStr">
        <is>
          <t>https://gripsfilmsrentals.com/shop/</t>
        </is>
      </c>
      <c r="G142" s="8" t="inlineStr">
        <is>
          <t>External Monitors</t>
        </is>
      </c>
      <c r="H142" s="8" t="inlineStr">
        <is>
          <t>External Monitor</t>
        </is>
      </c>
      <c r="I142" s="8" t="inlineStr">
        <is>
          <t>SmallHD</t>
        </is>
      </c>
      <c r="J142" s="9" t="inlineStr">
        <is>
          <t>4K, Cine</t>
        </is>
      </c>
    </row>
    <row r="143" ht="125" customHeight="1">
      <c r="A143" s="2" t="inlineStr">
        <is>
          <t>Atomos NEON 17″ 4K HDR Monitor/Recorder</t>
        </is>
      </c>
      <c r="B143" s="3" t="n">
        <v>9000</v>
      </c>
      <c r="C143" s="4">
        <f>IMAGE("https://tse1.mm.bing.net/th?q=Atomos%20NEON%2017%E2%80%B3%204K%20HDR%20Monitor/Recorder", "Atomos NEON 17″ 4K HDR Monitor/Recorder", 3, 120, 120)</f>
        <v/>
      </c>
      <c r="D143" s="2" t="inlineStr">
        <is>
          <t>https://tse1.mm.bing.net/th?q=Atomos%20NEON%2017%E2%80%B3%204K%20HDR%20Monitor/Recorder</t>
        </is>
      </c>
      <c r="E143" s="2" t="inlineStr">
        <is>
          <t>https://gripsfilmsrentals.com/product/atomos-neon-17-4k-hdr-monitor-recorder/</t>
        </is>
      </c>
      <c r="F143" s="2" t="inlineStr">
        <is>
          <t>https://gripsfilmsrentals.com/shop/</t>
        </is>
      </c>
      <c r="G143" s="8" t="inlineStr">
        <is>
          <t>External Monitors</t>
        </is>
      </c>
      <c r="H143" s="8" t="inlineStr">
        <is>
          <t>External Monitor</t>
        </is>
      </c>
      <c r="I143" s="8" t="inlineStr">
        <is>
          <t>Atomos</t>
        </is>
      </c>
      <c r="J143" s="9" t="inlineStr">
        <is>
          <t>4K</t>
        </is>
      </c>
    </row>
    <row r="144" ht="125" customHeight="1">
      <c r="A144" s="2" t="inlineStr">
        <is>
          <t>Sony Alpha a7R IVA Mirrorless Digital Camera</t>
        </is>
      </c>
      <c r="B144" s="3" t="n">
        <v>5000</v>
      </c>
      <c r="C144" s="4">
        <f>IMAGE("https://tse1.mm.bing.net/th?q=Sony%20Alpha%20a7R%20IVA%20Mirrorless%20Digital%20Camera", "Sony Alpha a7R IVA Mirrorless Digital Camera", 3, 120, 120)</f>
        <v/>
      </c>
      <c r="D144" s="2" t="inlineStr">
        <is>
          <t>https://tse1.mm.bing.net/th?q=Sony%20Alpha%20a7R%20IVA%20Mirrorless%20Digital%20Camera</t>
        </is>
      </c>
      <c r="E144" s="2" t="inlineStr">
        <is>
          <t>https://gripsfilmsrentals.com/product/sony-alpha-a7r-iva-mirrorless-digital-camera/</t>
        </is>
      </c>
      <c r="F144" s="2" t="inlineStr">
        <is>
          <t>https://gripsfilmsrentals.com/shop/</t>
        </is>
      </c>
      <c r="G144" s="8" t="inlineStr">
        <is>
          <t>Cameras</t>
        </is>
      </c>
      <c r="H144" s="8" t="inlineStr">
        <is>
          <t>Sony</t>
        </is>
      </c>
      <c r="I144" s="8" t="inlineStr">
        <is>
          <t>Sony</t>
        </is>
      </c>
      <c r="J144" s="9" t="inlineStr">
        <is>
          <t>Mirrorless</t>
        </is>
      </c>
    </row>
    <row r="145" ht="125" customHeight="1">
      <c r="A145" s="2" t="inlineStr">
        <is>
          <t>Sony Alpha a7R III Mirrorless Digital Camera</t>
        </is>
      </c>
      <c r="B145" s="3" t="n">
        <v>4000</v>
      </c>
      <c r="C145" s="4">
        <f>IMAGE("https://tse1.mm.bing.net/th?q=Sony%20Alpha%20a7R%20III%20Mirrorless%20Digital%20Camera", "Sony Alpha a7R III Mirrorless Digital Camera", 3, 120, 120)</f>
        <v/>
      </c>
      <c r="D145" s="2" t="inlineStr">
        <is>
          <t>https://tse1.mm.bing.net/th?q=Sony%20Alpha%20a7R%20III%20Mirrorless%20Digital%20Camera</t>
        </is>
      </c>
      <c r="E145" s="2" t="inlineStr">
        <is>
          <t>https://gripsfilmsrentals.com/product/sony-alpha-a7r-iii-mirrorless-digital-camera/</t>
        </is>
      </c>
      <c r="F145" s="2" t="inlineStr">
        <is>
          <t>https://gripsfilmsrentals.com/shop/</t>
        </is>
      </c>
      <c r="G145" s="8" t="inlineStr">
        <is>
          <t>Cameras</t>
        </is>
      </c>
      <c r="H145" s="8" t="inlineStr">
        <is>
          <t>Sony</t>
        </is>
      </c>
      <c r="I145" s="8" t="inlineStr">
        <is>
          <t>Sony</t>
        </is>
      </c>
      <c r="J145" s="9" t="inlineStr">
        <is>
          <t>Mirrorless</t>
        </is>
      </c>
    </row>
    <row r="146" ht="125" customHeight="1">
      <c r="A146" s="2" t="inlineStr">
        <is>
          <t>Canon EOS C700 Full-Frame Cinema Camera (Cinema Locking EF-Mount)</t>
        </is>
      </c>
      <c r="B146" s="3" t="n">
        <v>35000</v>
      </c>
      <c r="C146" s="4">
        <f>IMAGE("https://tse1.mm.bing.net/th?q=Canon%20EOS%20C700%20Full-Frame%20Cinema%20Camera%20%28Cinema%20Locking%20EF-Mount%29", "Canon EOS C700 Full-Frame Cinema Camera (Cinema Locking EF-Mount)", 3, 120, 120)</f>
        <v/>
      </c>
      <c r="D146" s="2" t="inlineStr">
        <is>
          <t>https://tse1.mm.bing.net/th?q=Canon%20EOS%20C700%20Full-Frame%20Cinema%20Camera%20%28Cinema%20Locking%20EF-Mount%29</t>
        </is>
      </c>
      <c r="E146" s="2" t="inlineStr">
        <is>
          <t>https://gripsfilmsrentals.com/product/canon-eos-c700-full-frame-cinema-camera-cinema-locking-ef-mount/</t>
        </is>
      </c>
      <c r="F146" s="2" t="inlineStr">
        <is>
          <t>https://gripsfilmsrentals.com/shop/</t>
        </is>
      </c>
      <c r="G146" s="8" t="inlineStr">
        <is>
          <t>Cameras</t>
        </is>
      </c>
      <c r="H146" s="8" t="inlineStr">
        <is>
          <t>Canon</t>
        </is>
      </c>
      <c r="I146" s="8" t="inlineStr">
        <is>
          <t>Canon</t>
        </is>
      </c>
      <c r="J146" s="9" t="inlineStr">
        <is>
          <t>Full-Frame, Cine, Cinema</t>
        </is>
      </c>
    </row>
    <row r="147" ht="125" customHeight="1">
      <c r="A147" s="2" t="inlineStr">
        <is>
          <t>Ronin S</t>
        </is>
      </c>
      <c r="B147" s="3" t="n">
        <v>2000</v>
      </c>
      <c r="C147" s="4">
        <f>IMAGE("https://tse1.mm.bing.net/th?q=Ronin%20S", "Ronin S", 3, 120, 120)</f>
        <v/>
      </c>
      <c r="D147" s="2" t="inlineStr">
        <is>
          <t>https://tse1.mm.bing.net/th?q=Ronin%20S</t>
        </is>
      </c>
      <c r="E147" s="2" t="inlineStr">
        <is>
          <t>https://gripsfilmsrentals.com/product/ronin-s/</t>
        </is>
      </c>
      <c r="F147" s="2" t="inlineStr">
        <is>
          <t>https://gripsfilmsrentals.com/shop/</t>
        </is>
      </c>
      <c r="G147" s="8" t="inlineStr">
        <is>
          <t>Stabilizers</t>
        </is>
      </c>
      <c r="H147" s="8" t="inlineStr">
        <is>
          <t>Gimbal / Stabilizer</t>
        </is>
      </c>
      <c r="I147" s="8" t="inlineStr"/>
      <c r="J147" s="9" t="inlineStr"/>
    </row>
    <row r="148" ht="125" customHeight="1">
      <c r="A148" s="2" t="inlineStr">
        <is>
          <t>DJI Ronin-MX 3-Axis Gimbal Stabilizer</t>
        </is>
      </c>
      <c r="B148" s="3" t="n">
        <v>4000</v>
      </c>
      <c r="C148" s="4">
        <f>IMAGE("https://tse1.mm.bing.net/th?q=DJI%20Ronin-MX%203-Axis%20Gimbal%20Stabilizer", "DJI Ronin-MX 3-Axis Gimbal Stabilizer", 3, 120, 120)</f>
        <v/>
      </c>
      <c r="D148" s="2" t="inlineStr">
        <is>
          <t>https://tse1.mm.bing.net/th?q=DJI%20Ronin-MX%203-Axis%20Gimbal%20Stabilizer</t>
        </is>
      </c>
      <c r="E148" s="2" t="inlineStr">
        <is>
          <t>https://gripsfilmsrentals.com/product/dji-ronin-mx-3-axis-gimbal-stabilizer/</t>
        </is>
      </c>
      <c r="F148" s="2" t="inlineStr">
        <is>
          <t>https://gripsfilmsrentals.com/shop/</t>
        </is>
      </c>
      <c r="G148" s="8" t="inlineStr">
        <is>
          <t>Stabilizers</t>
        </is>
      </c>
      <c r="H148" s="8" t="inlineStr">
        <is>
          <t>Gimbal / Stabilizer</t>
        </is>
      </c>
      <c r="I148" s="8" t="inlineStr">
        <is>
          <t>DJI</t>
        </is>
      </c>
      <c r="J148" s="9" t="inlineStr"/>
    </row>
    <row r="149" ht="125" customHeight="1">
      <c r="A149" s="2" t="inlineStr">
        <is>
          <t>Panasonic Lumix DC-S1 Mirrorless Digital Camera</t>
        </is>
      </c>
      <c r="B149" s="3" t="n">
        <v>4000</v>
      </c>
      <c r="C149" s="4">
        <f>IMAGE("https://tse1.mm.bing.net/th?q=Panasonic%20Lumix%20DC-S1%20Mirrorless%20Digital%20Camera", "Panasonic Lumix DC-S1 Mirrorless Digital Camera", 3, 120, 120)</f>
        <v/>
      </c>
      <c r="D149" s="2" t="inlineStr">
        <is>
          <t>https://tse1.mm.bing.net/th?q=Panasonic%20Lumix%20DC-S1%20Mirrorless%20Digital%20Camera</t>
        </is>
      </c>
      <c r="E149" s="2" t="inlineStr">
        <is>
          <t>https://gripsfilmsrentals.com/product/panasonic-lumix-dc-s1-mirrorless-digital-camera/</t>
        </is>
      </c>
      <c r="F149" s="2" t="inlineStr">
        <is>
          <t>https://gripsfilmsrentals.com/shop/</t>
        </is>
      </c>
      <c r="G149" s="8" t="inlineStr">
        <is>
          <t>Cameras</t>
        </is>
      </c>
      <c r="H149" s="8" t="inlineStr">
        <is>
          <t>Panasonic</t>
        </is>
      </c>
      <c r="I149" s="8" t="inlineStr">
        <is>
          <t>Panasonic</t>
        </is>
      </c>
      <c r="J149" s="9" t="inlineStr">
        <is>
          <t>Mirrorless</t>
        </is>
      </c>
    </row>
    <row r="150" ht="125" customHeight="1">
      <c r="A150" s="2" t="inlineStr">
        <is>
          <t>Rokinon XEEN CF 16mm T2.6 Pro Cine Lens (EF Mount)</t>
        </is>
      </c>
      <c r="B150" s="3" t="n">
        <v>3000</v>
      </c>
      <c r="C150" s="4">
        <f>IMAGE("https://tse1.mm.bing.net/th?q=Rokinon%20XEEN%20CF%2016mm%20T2.6%20Pro%20Cine%20Lens%20%28EF%20Mount%29", "Rokinon XEEN CF 16mm T2.6 Pro Cine Lens (EF Mount)", 3, 120, 120)</f>
        <v/>
      </c>
      <c r="D150" s="2" t="inlineStr">
        <is>
          <t>https://tse1.mm.bing.net/th?q=Rokinon%20XEEN%20CF%2016mm%20T2.6%20Pro%20Cine%20Lens%20%28EF%20Mount%29</t>
        </is>
      </c>
      <c r="E150" s="2" t="inlineStr">
        <is>
          <t>https://gripsfilmsrentals.com/product/rokinon-xeen-cf-16mm-t2-6-pro-cine-lens-ef-mount/</t>
        </is>
      </c>
      <c r="F150" s="2" t="inlineStr">
        <is>
          <t>https://gripsfilmsrentals.com/shop/</t>
        </is>
      </c>
      <c r="G150" s="8" t="inlineStr">
        <is>
          <t>Lenses</t>
        </is>
      </c>
      <c r="H150" s="8" t="inlineStr">
        <is>
          <t>Rokinon</t>
        </is>
      </c>
      <c r="I150" s="8" t="inlineStr">
        <is>
          <t>Rokinon</t>
        </is>
      </c>
      <c r="J150" s="9" t="inlineStr">
        <is>
          <t>16mm, Cine</t>
        </is>
      </c>
    </row>
    <row r="151" ht="125" customHeight="1">
      <c r="A151" s="2" t="inlineStr">
        <is>
          <t>Rokinon Xeen 16mm T2.6 Lens (Canon EF)</t>
        </is>
      </c>
      <c r="B151" s="3" t="n">
        <v>2000</v>
      </c>
      <c r="C151" s="4">
        <f>IMAGE("https://tse1.mm.bing.net/th?q=Rokinon%20Xeen%2016mm%20T2.6%20Lens%20%28Canon%20EF%29", "Rokinon Xeen 16mm T2.6 Lens (Canon EF)", 3, 120, 120)</f>
        <v/>
      </c>
      <c r="D151" s="2" t="inlineStr">
        <is>
          <t>https://tse1.mm.bing.net/th?q=Rokinon%20Xeen%2016mm%20T2.6%20Lens%20%28Canon%20EF%29</t>
        </is>
      </c>
      <c r="E151" s="2" t="inlineStr">
        <is>
          <t>https://gripsfilmsrentals.com/product/rokinon-xeen-16mm-t2-6-lens-canon-ef/</t>
        </is>
      </c>
      <c r="F151" s="2" t="inlineStr">
        <is>
          <t>https://gripsfilmsrentals.com/shop/</t>
        </is>
      </c>
      <c r="G151" s="8" t="inlineStr">
        <is>
          <t>Lenses</t>
        </is>
      </c>
      <c r="H151" s="8" t="inlineStr">
        <is>
          <t>Canon</t>
        </is>
      </c>
      <c r="I151" s="8" t="inlineStr">
        <is>
          <t>Canon</t>
        </is>
      </c>
      <c r="J151" s="9" t="inlineStr">
        <is>
          <t>16mm, Canon EF</t>
        </is>
      </c>
    </row>
    <row r="152" ht="125" customHeight="1">
      <c r="A152" s="2" t="inlineStr">
        <is>
          <t>Rokinon Xeen 24mm T1.5 Lens for Canon EF Mount</t>
        </is>
      </c>
      <c r="B152" s="3" t="n">
        <v>2000</v>
      </c>
      <c r="C152" s="4">
        <f>IMAGE("https://tse1.mm.bing.net/th?q=Rokinon%20Xeen%2024mm%20T1.5%20Lens%20for%20Canon%20EF%20Mount", "Rokinon Xeen 24mm T1.5 Lens for Canon EF Mount", 3, 120, 120)</f>
        <v/>
      </c>
      <c r="D152" s="2" t="inlineStr">
        <is>
          <t>https://tse1.mm.bing.net/th?q=Rokinon%20Xeen%2024mm%20T1.5%20Lens%20for%20Canon%20EF%20Mount</t>
        </is>
      </c>
      <c r="E152" s="2" t="inlineStr">
        <is>
          <t>https://gripsfilmsrentals.com/product/rokinon-xeen-24mm-t1-5-lens-for-canon-ef-mount/</t>
        </is>
      </c>
      <c r="F152" s="2" t="inlineStr">
        <is>
          <t>https://gripsfilmsrentals.com/shop/</t>
        </is>
      </c>
      <c r="G152" s="8" t="inlineStr">
        <is>
          <t>Lenses</t>
        </is>
      </c>
      <c r="H152" s="8" t="inlineStr">
        <is>
          <t>Canon</t>
        </is>
      </c>
      <c r="I152" s="8" t="inlineStr">
        <is>
          <t>Canon</t>
        </is>
      </c>
      <c r="J152" s="9" t="inlineStr">
        <is>
          <t>24mm, Canon EF</t>
        </is>
      </c>
    </row>
    <row r="153" ht="125" customHeight="1">
      <c r="A153" s="2" t="inlineStr">
        <is>
          <t>Rokinon Xeen 35mm T1.5 Lens for Canon EF Mount</t>
        </is>
      </c>
      <c r="B153" s="3" t="n">
        <v>2000</v>
      </c>
      <c r="C153" s="4">
        <f>IMAGE("https://tse1.mm.bing.net/th?q=Rokinon%20Xeen%2035mm%20T1.5%20Lens%20for%20Canon%20EF%20Mount", "Rokinon Xeen 35mm T1.5 Lens for Canon EF Mount", 3, 120, 120)</f>
        <v/>
      </c>
      <c r="D153" s="2" t="inlineStr">
        <is>
          <t>https://tse1.mm.bing.net/th?q=Rokinon%20Xeen%2035mm%20T1.5%20Lens%20for%20Canon%20EF%20Mount</t>
        </is>
      </c>
      <c r="E153" s="2" t="inlineStr">
        <is>
          <t>https://gripsfilmsrentals.com/product/rokinon-xeen-35mm-t1-5-lens-for-canon-ef-mount/</t>
        </is>
      </c>
      <c r="F153" s="2" t="inlineStr">
        <is>
          <t>https://gripsfilmsrentals.com/shop/</t>
        </is>
      </c>
      <c r="G153" s="8" t="inlineStr">
        <is>
          <t>Lenses</t>
        </is>
      </c>
      <c r="H153" s="8" t="inlineStr">
        <is>
          <t>Canon</t>
        </is>
      </c>
      <c r="I153" s="8" t="inlineStr">
        <is>
          <t>Canon</t>
        </is>
      </c>
      <c r="J153" s="9" t="inlineStr">
        <is>
          <t>35mm, Canon EF</t>
        </is>
      </c>
    </row>
    <row r="154" ht="125" customHeight="1">
      <c r="A154" s="2" t="inlineStr">
        <is>
          <t>Rokinon Xeen 50mm T1.5 Lens for Canon EF Mount</t>
        </is>
      </c>
      <c r="B154" s="3" t="n">
        <v>2000</v>
      </c>
      <c r="C154" s="4">
        <f>IMAGE("https://tse1.mm.bing.net/th?q=Rokinon%20Xeen%2050mm%20T1.5%20Lens%20for%20Canon%20EF%20Mount", "Rokinon Xeen 50mm T1.5 Lens for Canon EF Mount", 3, 120, 120)</f>
        <v/>
      </c>
      <c r="D154" s="2" t="inlineStr">
        <is>
          <t>https://tse1.mm.bing.net/th?q=Rokinon%20Xeen%2050mm%20T1.5%20Lens%20for%20Canon%20EF%20Mount</t>
        </is>
      </c>
      <c r="E154" s="2" t="inlineStr">
        <is>
          <t>https://gripsfilmsrentals.com/product/rokinon-xeen-50mm-t1-5-lens-for-canon-ef-mount/</t>
        </is>
      </c>
      <c r="F154" s="2" t="inlineStr">
        <is>
          <t>https://gripsfilmsrentals.com/shop/</t>
        </is>
      </c>
      <c r="G154" s="8" t="inlineStr">
        <is>
          <t>Lenses</t>
        </is>
      </c>
      <c r="H154" s="8" t="inlineStr">
        <is>
          <t>Canon</t>
        </is>
      </c>
      <c r="I154" s="8" t="inlineStr">
        <is>
          <t>Canon</t>
        </is>
      </c>
      <c r="J154" s="9" t="inlineStr">
        <is>
          <t>50mm, Canon EF</t>
        </is>
      </c>
    </row>
    <row r="155" ht="125" customHeight="1">
      <c r="A155" s="2" t="inlineStr">
        <is>
          <t>Rokinon Xeen 85mm T1.5 Lens for Canon EF Mount</t>
        </is>
      </c>
      <c r="B155" s="3" t="n">
        <v>2000</v>
      </c>
      <c r="C155" s="4">
        <f>IMAGE("https://tse1.mm.bing.net/th?q=Rokinon%20Xeen%2085mm%20T1.5%20Lens%20for%20Canon%20EF%20Mount", "Rokinon Xeen 85mm T1.5 Lens for Canon EF Mount", 3, 120, 120)</f>
        <v/>
      </c>
      <c r="D155" s="2" t="inlineStr">
        <is>
          <t>https://tse1.mm.bing.net/th?q=Rokinon%20Xeen%2085mm%20T1.5%20Lens%20for%20Canon%20EF%20Mount</t>
        </is>
      </c>
      <c r="E155" s="2" t="inlineStr">
        <is>
          <t>https://gripsfilmsrentals.com/product/rokinon-xeen-85mm-t1-5-lens-for-canon-ef-mount/</t>
        </is>
      </c>
      <c r="F155" s="2" t="inlineStr">
        <is>
          <t>https://gripsfilmsrentals.com/shop/</t>
        </is>
      </c>
      <c r="G155" s="8" t="inlineStr">
        <is>
          <t>Lenses</t>
        </is>
      </c>
      <c r="H155" s="8" t="inlineStr">
        <is>
          <t>Canon</t>
        </is>
      </c>
      <c r="I155" s="8" t="inlineStr">
        <is>
          <t>Canon</t>
        </is>
      </c>
      <c r="J155" s="9" t="inlineStr">
        <is>
          <t>85mm, Canon EF</t>
        </is>
      </c>
    </row>
    <row r="156" ht="125" customHeight="1">
      <c r="A156" s="2" t="inlineStr">
        <is>
          <t>Sony MCX-500 8-Input 4-Video Channel Global Production Streaming/Recording Switcher</t>
        </is>
      </c>
      <c r="B156" s="3" t="n">
        <v>10000</v>
      </c>
      <c r="C156" s="4">
        <f>IMAGE("https://tse1.mm.bing.net/th?q=Sony%20MCX-500%208-Input%204-Video%20Channel%20Global%20Production%20Streaming/Recording%20Switcher", "Sony MCX-500 8-Input 4-Video Channel Global Production Streaming/Recording Switcher", 3, 120, 120)</f>
        <v/>
      </c>
      <c r="D156" s="2" t="inlineStr">
        <is>
          <t>https://tse1.mm.bing.net/th?q=Sony%20MCX-500%208-Input%204-Video%20Channel%20Global%20Production%20Streaming/Recording%20Switcher</t>
        </is>
      </c>
      <c r="E156" s="2" t="inlineStr">
        <is>
          <t>https://gripsfilmsrentals.com/product/sony-mcx-500-8-input-4-video-channel-global-production-streaming-recording-switcher/</t>
        </is>
      </c>
      <c r="F156" s="2" t="inlineStr">
        <is>
          <t>https://gripsfilmsrentals.com/shop/</t>
        </is>
      </c>
      <c r="G156" s="8" t="inlineStr">
        <is>
          <t>Livestream/Switchers</t>
        </is>
      </c>
      <c r="H156" s="8" t="inlineStr">
        <is>
          <t>Switchers / Streaming</t>
        </is>
      </c>
      <c r="I156" s="8" t="inlineStr">
        <is>
          <t>Sony</t>
        </is>
      </c>
      <c r="J156" s="9" t="inlineStr"/>
    </row>
    <row r="157" ht="125" customHeight="1">
      <c r="A157" s="2" t="inlineStr">
        <is>
          <t>Canon RF 28-70mm f/2L USM Lens</t>
        </is>
      </c>
      <c r="B157" s="3" t="n">
        <v>2500</v>
      </c>
      <c r="C157" s="4">
        <f>IMAGE("https://tse1.mm.bing.net/th?q=Canon%20RF%2028-70mm%20f/2L%20USM%20Lens", "Canon RF 28-70mm f/2L USM Lens", 3, 120, 120)</f>
        <v/>
      </c>
      <c r="D157" s="2" t="inlineStr">
        <is>
          <t>https://tse1.mm.bing.net/th?q=Canon%20RF%2028-70mm%20f/2L%20USM%20Lens</t>
        </is>
      </c>
      <c r="E157" s="2" t="inlineStr">
        <is>
          <t>https://gripsfilmsrentals.com/product/canon-rf-28-70mm-f-2l-usm-lens/</t>
        </is>
      </c>
      <c r="F157" s="2" t="inlineStr">
        <is>
          <t>https://gripsfilmsrentals.com/shop/</t>
        </is>
      </c>
      <c r="G157" s="8" t="inlineStr">
        <is>
          <t>Lenses</t>
        </is>
      </c>
      <c r="H157" s="8" t="inlineStr">
        <is>
          <t>Canon</t>
        </is>
      </c>
      <c r="I157" s="8" t="inlineStr">
        <is>
          <t>Canon</t>
        </is>
      </c>
      <c r="J157" s="9" t="inlineStr">
        <is>
          <t>28-70mm, Canon RF</t>
        </is>
      </c>
    </row>
    <row r="158" ht="125" customHeight="1">
      <c r="A158" s="2" t="inlineStr">
        <is>
          <t>Canon RF 70-200mm f/2.8L IS USM Lens</t>
        </is>
      </c>
      <c r="B158" s="3" t="n">
        <v>2500</v>
      </c>
      <c r="C158" s="4">
        <f>IMAGE("https://tse1.mm.bing.net/th?q=Canon%20RF%2070-200mm%20f/2.8L%20IS%20USM%20Lens", "Canon RF 70-200mm f/2.8L IS USM Lens", 3, 120, 120)</f>
        <v/>
      </c>
      <c r="D158" s="2" t="inlineStr">
        <is>
          <t>https://tse1.mm.bing.net/th?q=Canon%20RF%2070-200mm%20f/2.8L%20IS%20USM%20Lens</t>
        </is>
      </c>
      <c r="E158" s="2" t="inlineStr">
        <is>
          <t>https://gripsfilmsrentals.com/product/canon-rf-70-200mm-f-2-8l-is-usm-lens/</t>
        </is>
      </c>
      <c r="F158" s="2" t="inlineStr">
        <is>
          <t>https://gripsfilmsrentals.com/shop/</t>
        </is>
      </c>
      <c r="G158" s="8" t="inlineStr">
        <is>
          <t>Lenses</t>
        </is>
      </c>
      <c r="H158" s="8" t="inlineStr">
        <is>
          <t>Canon</t>
        </is>
      </c>
      <c r="I158" s="8" t="inlineStr">
        <is>
          <t>Canon</t>
        </is>
      </c>
      <c r="J158" s="9" t="inlineStr">
        <is>
          <t>f/2, 70-200mm, Canon RF</t>
        </is>
      </c>
    </row>
    <row r="159" ht="125" customHeight="1">
      <c r="A159" s="2" t="inlineStr">
        <is>
          <t>Canon RF 85mm f/1.2L USM DS Lens</t>
        </is>
      </c>
      <c r="B159" s="3" t="n">
        <v>2000</v>
      </c>
      <c r="C159" s="4">
        <f>IMAGE("https://tse1.mm.bing.net/th?q=Canon%20RF%2085mm%20f/1.2L%20USM%20DS%20Lens", "Canon RF 85mm f/1.2L USM DS Lens", 3, 120, 120)</f>
        <v/>
      </c>
      <c r="D159" s="2" t="inlineStr">
        <is>
          <t>https://tse1.mm.bing.net/th?q=Canon%20RF%2085mm%20f/1.2L%20USM%20DS%20Lens</t>
        </is>
      </c>
      <c r="E159" s="2" t="inlineStr">
        <is>
          <t>https://gripsfilmsrentals.com/product/canon-rf-85mm-f-1-2l-usm-ds-lens/</t>
        </is>
      </c>
      <c r="F159" s="2" t="inlineStr">
        <is>
          <t>https://gripsfilmsrentals.com/shop/</t>
        </is>
      </c>
      <c r="G159" s="8" t="inlineStr">
        <is>
          <t>Lenses</t>
        </is>
      </c>
      <c r="H159" s="8" t="inlineStr">
        <is>
          <t>Canon</t>
        </is>
      </c>
      <c r="I159" s="8" t="inlineStr">
        <is>
          <t>Canon</t>
        </is>
      </c>
      <c r="J159" s="9" t="inlineStr">
        <is>
          <t>f/1, 85mm, Canon RF</t>
        </is>
      </c>
    </row>
    <row r="160" ht="125" customHeight="1">
      <c r="A160" s="2" t="inlineStr">
        <is>
          <t>Canon RF 50mm f/1.2L USM Lens</t>
        </is>
      </c>
      <c r="B160" s="3" t="n">
        <v>2000</v>
      </c>
      <c r="C160" s="4">
        <f>IMAGE("https://tse1.mm.bing.net/th?q=Canon%20RF%2050mm%20f/1.2L%20USM%20Lens", "Canon RF 50mm f/1.2L USM Lens", 3, 120, 120)</f>
        <v/>
      </c>
      <c r="D160" s="2" t="inlineStr">
        <is>
          <t>https://tse1.mm.bing.net/th?q=Canon%20RF%2050mm%20f/1.2L%20USM%20Lens</t>
        </is>
      </c>
      <c r="E160" s="2" t="inlineStr">
        <is>
          <t>https://gripsfilmsrentals.com/product/canon-rf-50mm-f-1-2l-usm-lens/</t>
        </is>
      </c>
      <c r="F160" s="2" t="inlineStr">
        <is>
          <t>https://gripsfilmsrentals.com/shop/</t>
        </is>
      </c>
      <c r="G160" s="8" t="inlineStr">
        <is>
          <t>Lenses</t>
        </is>
      </c>
      <c r="H160" s="8" t="inlineStr">
        <is>
          <t>Canon</t>
        </is>
      </c>
      <c r="I160" s="8" t="inlineStr">
        <is>
          <t>Canon</t>
        </is>
      </c>
      <c r="J160" s="9" t="inlineStr">
        <is>
          <t>f/1, 50mm, Canon RF</t>
        </is>
      </c>
    </row>
    <row r="161" ht="125" customHeight="1">
      <c r="A161" s="2" t="inlineStr">
        <is>
          <t>Canon EOS R5 Mirrorless Digital Camera</t>
        </is>
      </c>
      <c r="B161" s="3" t="n">
        <v>6000</v>
      </c>
      <c r="C161" s="4">
        <f>IMAGE("https://tse1.mm.bing.net/th?q=Canon%20EOS%20R5%20Mirrorless%20Digital%20Camera", "Canon EOS R5 Mirrorless Digital Camera", 3, 120, 120)</f>
        <v/>
      </c>
      <c r="D161" s="2" t="inlineStr">
        <is>
          <t>https://tse1.mm.bing.net/th?q=Canon%20EOS%20R5%20Mirrorless%20Digital%20Camera</t>
        </is>
      </c>
      <c r="E161" s="2" t="inlineStr">
        <is>
          <t>https://gripsfilmsrentals.com/product/canon-eos-r5-mirrorless-digital-camera/</t>
        </is>
      </c>
      <c r="F161" s="2" t="inlineStr">
        <is>
          <t>https://gripsfilmsrentals.com/shop/</t>
        </is>
      </c>
      <c r="G161" s="8" t="inlineStr">
        <is>
          <t>Cameras</t>
        </is>
      </c>
      <c r="H161" s="8" t="inlineStr">
        <is>
          <t>Canon</t>
        </is>
      </c>
      <c r="I161" s="8" t="inlineStr">
        <is>
          <t>Canon</t>
        </is>
      </c>
      <c r="J161" s="9" t="inlineStr">
        <is>
          <t>Mirrorless</t>
        </is>
      </c>
    </row>
    <row r="162" ht="125" customHeight="1">
      <c r="A162" s="2" t="inlineStr">
        <is>
          <t>Glide Gear iPad Smartphone Teleprompter (with operator)</t>
        </is>
      </c>
      <c r="B162" s="3" t="n">
        <v>14000</v>
      </c>
      <c r="C162" s="4">
        <f>IMAGE("https://tse1.mm.bing.net/th?q=Glide%20Gear%20iPad%20Smartphone%20Teleprompter%20%28with%20operator%29", "Glide Gear iPad Smartphone Teleprompter (with operator)", 3, 120, 120)</f>
        <v/>
      </c>
      <c r="D162" s="2" t="inlineStr">
        <is>
          <t>https://tse1.mm.bing.net/th?q=Glide%20Gear%20iPad%20Smartphone%20Teleprompter%20%28with%20operator%29</t>
        </is>
      </c>
      <c r="E162" s="2" t="inlineStr">
        <is>
          <t>https://gripsfilmsrentals.com/product/glide-gear-ipad-smartphone-teleprompter-with-operator/</t>
        </is>
      </c>
      <c r="F162" s="2" t="inlineStr">
        <is>
          <t>https://gripsfilmsrentals.com/shop/</t>
        </is>
      </c>
      <c r="G162" s="8" t="inlineStr">
        <is>
          <t>Photography / Video Accessories</t>
        </is>
      </c>
      <c r="H162" s="8" t="inlineStr">
        <is>
          <t>Accessory</t>
        </is>
      </c>
      <c r="I162" s="8" t="inlineStr"/>
      <c r="J162" s="9" t="inlineStr"/>
    </row>
    <row r="163" ht="125" customHeight="1">
      <c r="A163" s="2" t="inlineStr">
        <is>
          <t>Go Pro Three-Arm Car Suction Mount</t>
        </is>
      </c>
      <c r="B163" s="3" t="n">
        <v>1500</v>
      </c>
      <c r="C163" s="4">
        <f>IMAGE("https://tse1.mm.bing.net/th?q=Go%20Pro%20Three-Arm%20Car%20Suction%20Mount", "Go Pro Three-Arm Car Suction Mount", 3, 120, 120)</f>
        <v/>
      </c>
      <c r="D163" s="2" t="inlineStr">
        <is>
          <t>https://tse1.mm.bing.net/th?q=Go%20Pro%20Three-Arm%20Car%20Suction%20Mount</t>
        </is>
      </c>
      <c r="E163" s="2" t="inlineStr">
        <is>
          <t>https://gripsfilmsrentals.com/product/go-pro-three-arm-car-suction-mount/</t>
        </is>
      </c>
      <c r="F163" s="2" t="inlineStr">
        <is>
          <t>https://gripsfilmsrentals.com/shop/</t>
        </is>
      </c>
      <c r="G163" s="8" t="inlineStr">
        <is>
          <t>Photography / Video Accessories</t>
        </is>
      </c>
      <c r="H163" s="8" t="inlineStr">
        <is>
          <t>Accessory</t>
        </is>
      </c>
      <c r="I163" s="8" t="inlineStr"/>
      <c r="J163" s="9" t="inlineStr"/>
    </row>
    <row r="164" ht="125" customHeight="1">
      <c r="A164" s="2" t="inlineStr">
        <is>
          <t>Video Car Sucker Suction Cup Mount</t>
        </is>
      </c>
      <c r="B164" s="3" t="n">
        <v>2000</v>
      </c>
      <c r="C164" s="4">
        <f>IMAGE("https://tse1.mm.bing.net/th?q=Video%20Car%20Sucker%20Suction%20Cup%20Mount", "Video Car Sucker Suction Cup Mount", 3, 120, 120)</f>
        <v/>
      </c>
      <c r="D164" s="2" t="inlineStr">
        <is>
          <t>https://tse1.mm.bing.net/th?q=Video%20Car%20Sucker%20Suction%20Cup%20Mount</t>
        </is>
      </c>
      <c r="E164" s="2" t="inlineStr">
        <is>
          <t>https://gripsfilmsrentals.com/product/video-car-sucker-suction-cup-mount/</t>
        </is>
      </c>
      <c r="F164" s="2" t="inlineStr">
        <is>
          <t>https://gripsfilmsrentals.com/shop/</t>
        </is>
      </c>
      <c r="G164" s="8" t="inlineStr">
        <is>
          <t>Photography / Video Accessories</t>
        </is>
      </c>
      <c r="H164" s="8" t="inlineStr">
        <is>
          <t>Accessory</t>
        </is>
      </c>
      <c r="I164" s="8" t="inlineStr"/>
      <c r="J164" s="9" t="inlineStr"/>
    </row>
    <row r="165" ht="125" customHeight="1">
      <c r="A165" s="2" t="inlineStr">
        <is>
          <t>Panasonic Lumix GH5S</t>
        </is>
      </c>
      <c r="B165" s="3" t="n">
        <v>4000</v>
      </c>
      <c r="C165" s="4">
        <f>IMAGE("https://tse1.mm.bing.net/th?q=Panasonic%20Lumix%20GH5S", "Panasonic Lumix GH5S", 3, 120, 120)</f>
        <v/>
      </c>
      <c r="D165" s="2" t="inlineStr">
        <is>
          <t>https://tse1.mm.bing.net/th?q=Panasonic%20Lumix%20GH5S</t>
        </is>
      </c>
      <c r="E165" s="2" t="inlineStr">
        <is>
          <t>https://gripsfilmsrentals.com/product/panasonic-lumix-gh5s/</t>
        </is>
      </c>
      <c r="F165" s="2" t="inlineStr">
        <is>
          <t>https://gripsfilmsrentals.com/shop/</t>
        </is>
      </c>
      <c r="G165" s="8" t="inlineStr">
        <is>
          <t>Cameras</t>
        </is>
      </c>
      <c r="H165" s="8" t="inlineStr">
        <is>
          <t>Panasonic</t>
        </is>
      </c>
      <c r="I165" s="8" t="inlineStr">
        <is>
          <t>Panasonic</t>
        </is>
      </c>
      <c r="J165" s="9" t="inlineStr"/>
    </row>
    <row r="166" ht="125" customHeight="1">
      <c r="A166" s="2" t="inlineStr">
        <is>
          <t>LiveU Solo SDI/HDMI Video Encoder with 2-Modem Starter Kit</t>
        </is>
      </c>
      <c r="B166" s="3" t="n">
        <v>5000</v>
      </c>
      <c r="C166" s="4">
        <f>IMAGE("https://tse1.mm.bing.net/th?q=LiveU%20Solo%20SDI/HDMI%20Video%20Encoder%20with%202-Modem%20Starter%20Kit", "LiveU Solo SDI/HDMI Video Encoder with 2-Modem Starter Kit", 3, 120, 120)</f>
        <v/>
      </c>
      <c r="D166" s="2" t="inlineStr">
        <is>
          <t>https://tse1.mm.bing.net/th?q=LiveU%20Solo%20SDI/HDMI%20Video%20Encoder%20with%202-Modem%20Starter%20Kit</t>
        </is>
      </c>
      <c r="E166" s="2" t="inlineStr">
        <is>
          <t>https://gripsfilmsrentals.com/product/liveu-solo-sdi-hdmi-video-encoder-with-2-modem-starter-kit/</t>
        </is>
      </c>
      <c r="F166" s="2" t="inlineStr">
        <is>
          <t>https://gripsfilmsrentals.com/shop/</t>
        </is>
      </c>
      <c r="G166" s="8" t="inlineStr">
        <is>
          <t>Livestream/Switchers</t>
        </is>
      </c>
      <c r="H166" s="8" t="inlineStr">
        <is>
          <t>Switchers / Streaming</t>
        </is>
      </c>
      <c r="I166" s="8" t="inlineStr">
        <is>
          <t>LiveU</t>
        </is>
      </c>
      <c r="J166" s="9" t="inlineStr">
        <is>
          <t>SDI, HDMI</t>
        </is>
      </c>
    </row>
    <row r="167" ht="125" customHeight="1">
      <c r="A167" s="2" t="inlineStr">
        <is>
          <t>LiveU Solo HDMI Video/Audio Encoder</t>
        </is>
      </c>
      <c r="B167" s="3" t="n">
        <v>4000</v>
      </c>
      <c r="C167" s="4">
        <f>IMAGE("https://tse1.mm.bing.net/th?q=LiveU%20Solo%20HDMI%20Video/Audio%20Encoder", "LiveU Solo HDMI Video/Audio Encoder", 3, 120, 120)</f>
        <v/>
      </c>
      <c r="D167" s="2" t="inlineStr">
        <is>
          <t>https://tse1.mm.bing.net/th?q=LiveU%20Solo%20HDMI%20Video/Audio%20Encoder</t>
        </is>
      </c>
      <c r="E167" s="2" t="inlineStr">
        <is>
          <t>https://gripsfilmsrentals.com/product/liveu-solo-hdmi-video-audio-encoder/</t>
        </is>
      </c>
      <c r="F167" s="2" t="inlineStr">
        <is>
          <t>https://gripsfilmsrentals.com/shop/</t>
        </is>
      </c>
      <c r="G167" s="8" t="inlineStr">
        <is>
          <t>Livestream/Switchers</t>
        </is>
      </c>
      <c r="H167" s="8" t="inlineStr">
        <is>
          <t>Switchers / Streaming</t>
        </is>
      </c>
      <c r="I167" s="8" t="inlineStr">
        <is>
          <t>LiveU</t>
        </is>
      </c>
      <c r="J167" s="9" t="inlineStr">
        <is>
          <t>HDMI</t>
        </is>
      </c>
    </row>
    <row r="168" ht="125" customHeight="1">
      <c r="A168" s="2" t="inlineStr">
        <is>
          <t>Hollyland Solidcom C1-8S Full-Duplex Wireless DECT Intercom System with 8 Headsets</t>
        </is>
      </c>
      <c r="B168" s="3" t="n">
        <v>1000</v>
      </c>
      <c r="C168" s="4">
        <f>IMAGE("https://tse1.mm.bing.net/th?q=Hollyland%20Solidcom%20C1-8S%20Full-Duplex%20Wireless%20DECT%20Intercom%20System%20with%208%20Headsets", "Hollyland Solidcom C1-8S Full-Duplex Wireless DECT Intercom System with 8 Headsets", 3, 120, 120)</f>
        <v/>
      </c>
      <c r="D168" s="2" t="inlineStr">
        <is>
          <t>https://tse1.mm.bing.net/th?q=Hollyland%20Solidcom%20C1-8S%20Full-Duplex%20Wireless%20DECT%20Intercom%20System%20with%208%20Headsets</t>
        </is>
      </c>
      <c r="E168" s="2" t="inlineStr">
        <is>
          <t>https://gripsfilmsrentals.com/product/hollyland-solidcom-c1-8s-full-duplex-wireless-dect-intercom-system-with-8-headsets/</t>
        </is>
      </c>
      <c r="F168" s="2" t="inlineStr">
        <is>
          <t>https://gripsfilmsrentals.com/shop/</t>
        </is>
      </c>
      <c r="G168" s="8" t="inlineStr">
        <is>
          <t>Sound</t>
        </is>
      </c>
      <c r="H168" s="8" t="inlineStr">
        <is>
          <t>Microphone</t>
        </is>
      </c>
      <c r="I168" s="8" t="inlineStr">
        <is>
          <t>Hollyland</t>
        </is>
      </c>
      <c r="J168" s="9" t="inlineStr">
        <is>
          <t>Wireless</t>
        </is>
      </c>
    </row>
    <row r="169" ht="125" customHeight="1">
      <c r="A169" s="2" t="inlineStr">
        <is>
          <t>Tilta Nucleus-M Wireless Lens Control System</t>
        </is>
      </c>
      <c r="B169" s="3" t="n">
        <v>5000</v>
      </c>
      <c r="C169" s="4">
        <f>IMAGE("https://tse1.mm.bing.net/th?q=Tilta%20Nucleus-M%20Wireless%20Lens%20Control%20System", "Tilta Nucleus-M Wireless Lens Control System", 3, 120, 120)</f>
        <v/>
      </c>
      <c r="D169" s="2" t="inlineStr">
        <is>
          <t>https://tse1.mm.bing.net/th?q=Tilta%20Nucleus-M%20Wireless%20Lens%20Control%20System</t>
        </is>
      </c>
      <c r="E169" s="2" t="inlineStr">
        <is>
          <t>https://gripsfilmsrentals.com/product/tilta-nucleus-m-wireless-lens-control-system/</t>
        </is>
      </c>
      <c r="F169" s="2" t="inlineStr">
        <is>
          <t>https://gripsfilmsrentals.com/shop/</t>
        </is>
      </c>
      <c r="G169" s="8" t="inlineStr">
        <is>
          <t>Focus Pulling Systems</t>
        </is>
      </c>
      <c r="H169" s="8" t="inlineStr">
        <is>
          <t>Focus Pulling</t>
        </is>
      </c>
      <c r="I169" s="8" t="inlineStr">
        <is>
          <t>Tilta</t>
        </is>
      </c>
      <c r="J169" s="9" t="inlineStr">
        <is>
          <t>Wireless</t>
        </is>
      </c>
    </row>
    <row r="170" ht="125" customHeight="1">
      <c r="A170" s="2" t="inlineStr">
        <is>
          <t>Blackmagic Design Pocket Cinema Camera 6K Pro (Canon EF)</t>
        </is>
      </c>
      <c r="B170" s="3" t="n">
        <v>6000</v>
      </c>
      <c r="C170" s="4">
        <f>IMAGE("https://tse1.mm.bing.net/th?q=Blackmagic%20Design%20Pocket%20Cinema%20Camera%206K%20Pro%20%28Canon%20EF%29", "Blackmagic Design Pocket Cinema Camera 6K Pro (Canon EF)", 3, 120, 120)</f>
        <v/>
      </c>
      <c r="D170" s="2" t="inlineStr">
        <is>
          <t>https://tse1.mm.bing.net/th?q=Blackmagic%20Design%20Pocket%20Cinema%20Camera%206K%20Pro%20%28Canon%20EF%29</t>
        </is>
      </c>
      <c r="E170" s="2" t="inlineStr">
        <is>
          <t>https://gripsfilmsrentals.com/product/blackmagic-design-pocket-cinema-camera-6k-pro-canon-ef/</t>
        </is>
      </c>
      <c r="F170" s="2" t="inlineStr">
        <is>
          <t>https://gripsfilmsrentals.com/shop/</t>
        </is>
      </c>
      <c r="G170" s="8" t="inlineStr">
        <is>
          <t>Cameras</t>
        </is>
      </c>
      <c r="H170" s="8" t="inlineStr">
        <is>
          <t>Black Magic</t>
        </is>
      </c>
      <c r="I170" s="8" t="inlineStr">
        <is>
          <t>Canon</t>
        </is>
      </c>
      <c r="J170" s="9" t="inlineStr">
        <is>
          <t>6K, Canon EF, Cine, Cinema</t>
        </is>
      </c>
    </row>
    <row r="171" ht="125" customHeight="1">
      <c r="A171" s="2" t="inlineStr">
        <is>
          <t>Godox VL300 LED Video Light</t>
        </is>
      </c>
      <c r="B171" s="3" t="n">
        <v>2500</v>
      </c>
      <c r="C171" s="4">
        <f>IMAGE("https://tse1.mm.bing.net/th?q=Godox%20VL300%20LED%20Video%20Light", "Godox VL300 LED Video Light", 3, 120, 120)</f>
        <v/>
      </c>
      <c r="D171" s="2" t="inlineStr">
        <is>
          <t>https://tse1.mm.bing.net/th?q=Godox%20VL300%20LED%20Video%20Light</t>
        </is>
      </c>
      <c r="E171" s="2" t="inlineStr">
        <is>
          <t>https://gripsfilmsrentals.com/product/godox-vl300-led-video-light/</t>
        </is>
      </c>
      <c r="F171" s="2" t="inlineStr">
        <is>
          <t>https://gripsfilmsrentals.com/shop/</t>
        </is>
      </c>
      <c r="G171" s="8" t="inlineStr">
        <is>
          <t>Lights</t>
        </is>
      </c>
      <c r="H171" s="8" t="inlineStr">
        <is>
          <t>Continous lights</t>
        </is>
      </c>
      <c r="I171" s="8" t="inlineStr">
        <is>
          <t>Godox</t>
        </is>
      </c>
      <c r="J171" s="9" t="inlineStr"/>
    </row>
    <row r="172" ht="125" customHeight="1">
      <c r="A172" s="2" t="inlineStr">
        <is>
          <t>Canon EF 8-15mm f/4L Fisheye USM Lens</t>
        </is>
      </c>
      <c r="B172" s="3" t="n">
        <v>2000</v>
      </c>
      <c r="C172" s="4">
        <f>IMAGE("https://tse1.mm.bing.net/th?q=Canon%20EF%208-15mm%20f/4L%20Fisheye%20USM%20Lens", "Canon EF 8-15mm f/4L Fisheye USM Lens", 3, 120, 120)</f>
        <v/>
      </c>
      <c r="D172" s="2" t="inlineStr">
        <is>
          <t>https://tse1.mm.bing.net/th?q=Canon%20EF%208-15mm%20f/4L%20Fisheye%20USM%20Lens</t>
        </is>
      </c>
      <c r="E172" s="2" t="inlineStr">
        <is>
          <t>https://gripsfilmsrentals.com/product/canon-ef-8-15mm-f-4l-fisheye-usm-lens/</t>
        </is>
      </c>
      <c r="F172" s="2" t="inlineStr">
        <is>
          <t>https://gripsfilmsrentals.com/shop/</t>
        </is>
      </c>
      <c r="G172" s="8" t="inlineStr">
        <is>
          <t>Lenses</t>
        </is>
      </c>
      <c r="H172" s="8" t="inlineStr">
        <is>
          <t>Canon</t>
        </is>
      </c>
      <c r="I172" s="8" t="inlineStr">
        <is>
          <t>Canon</t>
        </is>
      </c>
      <c r="J172" s="9" t="inlineStr">
        <is>
          <t>8-15mm, Canon EF, Fisheye</t>
        </is>
      </c>
    </row>
    <row r="173" ht="125" customHeight="1">
      <c r="A173" s="2" t="inlineStr">
        <is>
          <t>Zoom F8n 8-Input / 10-Track Multitrack Field Recorder</t>
        </is>
      </c>
      <c r="B173" s="3" t="n">
        <v>5000</v>
      </c>
      <c r="C173" s="4">
        <f>IMAGE("https://tse1.mm.bing.net/th?q=Zoom%20F8n%208-Input%20/%2010-Track%20Multitrack%20Field%20Recorder", "Zoom F8n 8-Input / 10-Track Multitrack Field Recorder", 3, 120, 120)</f>
        <v/>
      </c>
      <c r="D173" s="2" t="inlineStr">
        <is>
          <t>https://tse1.mm.bing.net/th?q=Zoom%20F8n%208-Input%20/%2010-Track%20Multitrack%20Field%20Recorder</t>
        </is>
      </c>
      <c r="E173" s="2" t="inlineStr">
        <is>
          <t>https://gripsfilmsrentals.com/product/zoom-f8n-8-input--10-track-multitrack-field-recorder/</t>
        </is>
      </c>
      <c r="F173" s="2" t="inlineStr">
        <is>
          <t>https://gripsfilmsrentals.com/shop/</t>
        </is>
      </c>
      <c r="G173" s="8" t="inlineStr">
        <is>
          <t>Photography / Video Accessories</t>
        </is>
      </c>
      <c r="H173" s="8" t="inlineStr">
        <is>
          <t>Accessory</t>
        </is>
      </c>
      <c r="I173" s="8" t="inlineStr">
        <is>
          <t>Zoom</t>
        </is>
      </c>
      <c r="J173" s="9" t="inlineStr"/>
    </row>
    <row r="174" ht="125" customHeight="1">
      <c r="A174" s="2" t="inlineStr">
        <is>
          <t>Sound Devices MixPre-10 II 10-Channel / 12-Track Multitrack 32-Bit Field Recorder</t>
        </is>
      </c>
      <c r="B174" s="3" t="n">
        <v>5000</v>
      </c>
      <c r="C174" s="4">
        <f>IMAGE("https://tse1.mm.bing.net/th?q=Sound%20Devices%20MixPre-10%20II%2010-Channel%20/%2012-Track%20Multitrack%2032-Bit%20Field%20Recorder", "Sound Devices MixPre-10 II 10-Channel / 12-Track Multitrack 32-Bit Field Recorder", 3, 120, 120)</f>
        <v/>
      </c>
      <c r="D174" s="2" t="inlineStr">
        <is>
          <t>https://tse1.mm.bing.net/th?q=Sound%20Devices%20MixPre-10%20II%2010-Channel%20/%2012-Track%20Multitrack%2032-Bit%20Field%20Recorder</t>
        </is>
      </c>
      <c r="E174" s="2" t="inlineStr">
        <is>
          <t>https://gripsfilmsrentals.com/product/sound-devices-mixpre-10-ii-10-channel--12-track-multitrack-32-bit-field-recorder/</t>
        </is>
      </c>
      <c r="F174" s="2" t="inlineStr">
        <is>
          <t>https://gripsfilmsrentals.com/shop/</t>
        </is>
      </c>
      <c r="G174" s="8" t="inlineStr">
        <is>
          <t>Sound</t>
        </is>
      </c>
      <c r="H174" s="8" t="inlineStr">
        <is>
          <t>Recorder</t>
        </is>
      </c>
      <c r="I174" s="8" t="inlineStr">
        <is>
          <t>Sound Devices</t>
        </is>
      </c>
      <c r="J174" s="9" t="inlineStr"/>
    </row>
    <row r="175" ht="125" customHeight="1">
      <c r="A175" s="2" t="inlineStr">
        <is>
          <t>Hollyland Mars 400S PRO SDI/HDMI Wireless Video Transmission System</t>
        </is>
      </c>
      <c r="B175" s="3" t="n">
        <v>3000</v>
      </c>
      <c r="C175" s="4">
        <f>IMAGE("https://tse1.mm.bing.net/th?q=Hollyland%20Mars%20400S%20PRO%20SDI/HDMI%20Wireless%20Video%20Transmission%20System", "Hollyland Mars 400S PRO SDI/HDMI Wireless Video Transmission System", 3, 120, 120)</f>
        <v/>
      </c>
      <c r="D175" s="2" t="inlineStr">
        <is>
          <t>https://tse1.mm.bing.net/th?q=Hollyland%20Mars%20400S%20PRO%20SDI/HDMI%20Wireless%20Video%20Transmission%20System</t>
        </is>
      </c>
      <c r="E175" s="2" t="inlineStr">
        <is>
          <t>https://gripsfilmsrentals.com/product/hollyland-mars-400s-pro-sdi-hdmi-wireless-video-transmission-system/</t>
        </is>
      </c>
      <c r="F175" s="2" t="inlineStr">
        <is>
          <t>https://gripsfilmsrentals.com/shop/</t>
        </is>
      </c>
      <c r="G175" s="8" t="inlineStr">
        <is>
          <t>Image Transmission System</t>
        </is>
      </c>
      <c r="H175" s="8" t="inlineStr">
        <is>
          <t>Wireless Video Transmission</t>
        </is>
      </c>
      <c r="I175" s="8" t="inlineStr">
        <is>
          <t>Hollyland</t>
        </is>
      </c>
      <c r="J175" s="9" t="inlineStr">
        <is>
          <t>SDI, HDMI, Wireless</t>
        </is>
      </c>
    </row>
    <row r="176" ht="125" customHeight="1">
      <c r="A176" s="2" t="inlineStr">
        <is>
          <t>Hollyland Mars 400S SDI/HDMI Wireless Video Transmission System</t>
        </is>
      </c>
      <c r="B176" s="3" t="n">
        <v>2500</v>
      </c>
      <c r="C176" s="4">
        <f>IMAGE("https://tse1.mm.bing.net/th?q=Hollyland%20Mars%20400S%20SDI/HDMI%20Wireless%20Video%20Transmission%20System", "Hollyland Mars 400S SDI/HDMI Wireless Video Transmission System", 3, 120, 120)</f>
        <v/>
      </c>
      <c r="D176" s="2" t="inlineStr">
        <is>
          <t>https://tse1.mm.bing.net/th?q=Hollyland%20Mars%20400S%20SDI/HDMI%20Wireless%20Video%20Transmission%20System</t>
        </is>
      </c>
      <c r="E176" s="2" t="inlineStr">
        <is>
          <t>https://gripsfilmsrentals.com/product/hollyland-mars-400s-sdi-hdmi-wireless-video-transmission-system/</t>
        </is>
      </c>
      <c r="F176" s="2" t="inlineStr">
        <is>
          <t>https://gripsfilmsrentals.com/shop/</t>
        </is>
      </c>
      <c r="G176" s="8" t="inlineStr">
        <is>
          <t>Image Transmission System</t>
        </is>
      </c>
      <c r="H176" s="8" t="inlineStr">
        <is>
          <t>Wireless Video Transmission</t>
        </is>
      </c>
      <c r="I176" s="8" t="inlineStr">
        <is>
          <t>Hollyland</t>
        </is>
      </c>
      <c r="J176" s="9" t="inlineStr">
        <is>
          <t>SDI, HDMI, Wireless</t>
        </is>
      </c>
    </row>
    <row r="177" ht="125" customHeight="1">
      <c r="A177" s="2" t="inlineStr">
        <is>
          <t>Panasonic Lumix S1H</t>
        </is>
      </c>
      <c r="B177" s="3" t="n">
        <v>5000</v>
      </c>
      <c r="C177" s="4">
        <f>IMAGE("https://tse1.mm.bing.net/th?q=Panasonic%20Lumix%20S1H", "Panasonic Lumix S1H", 3, 120, 120)</f>
        <v/>
      </c>
      <c r="D177" s="2" t="inlineStr">
        <is>
          <t>https://tse1.mm.bing.net/th?q=Panasonic%20Lumix%20S1H</t>
        </is>
      </c>
      <c r="E177" s="2" t="inlineStr">
        <is>
          <t>https://gripsfilmsrentals.com/product/panasonic-lumix-s1h/</t>
        </is>
      </c>
      <c r="F177" s="2" t="inlineStr">
        <is>
          <t>https://gripsfilmsrentals.com/shop/</t>
        </is>
      </c>
      <c r="G177" s="8" t="inlineStr">
        <is>
          <t>Cameras</t>
        </is>
      </c>
      <c r="H177" s="8" t="inlineStr">
        <is>
          <t>Panasonic</t>
        </is>
      </c>
      <c r="I177" s="8" t="inlineStr">
        <is>
          <t>Panasonic</t>
        </is>
      </c>
      <c r="J177" s="9" t="inlineStr"/>
    </row>
    <row r="178" ht="125" customHeight="1">
      <c r="A178" s="2" t="inlineStr">
        <is>
          <t>Sigma 150-600mm f/5-6.3 Lens for Nikon F</t>
        </is>
      </c>
      <c r="B178" s="3" t="n">
        <v>3500</v>
      </c>
      <c r="C178" s="4">
        <f>IMAGE("https://tse1.mm.bing.net/th?q=Sigma%20150-600mm%20f/5-6.3%20Lens%20for%20Nikon%20F", "Sigma 150-600mm f/5-6.3 Lens for Nikon F", 3, 120, 120)</f>
        <v/>
      </c>
      <c r="D178" s="2" t="inlineStr">
        <is>
          <t>https://tse1.mm.bing.net/th?q=Sigma%20150-600mm%20f/5-6.3%20Lens%20for%20Nikon%20F</t>
        </is>
      </c>
      <c r="E178" s="2" t="inlineStr">
        <is>
          <t>https://gripsfilmsrentals.com/product/sigma-150-600mm-f-5-6-3-lens-for-nikon-f/</t>
        </is>
      </c>
      <c r="F178" s="2" t="inlineStr">
        <is>
          <t>https://gripsfilmsrentals.com/shop/</t>
        </is>
      </c>
      <c r="G178" s="8" t="inlineStr">
        <is>
          <t>Lenses</t>
        </is>
      </c>
      <c r="H178" s="8" t="inlineStr">
        <is>
          <t>Nikon</t>
        </is>
      </c>
      <c r="I178" s="8" t="inlineStr">
        <is>
          <t>Nikon</t>
        </is>
      </c>
      <c r="J178" s="9" t="inlineStr">
        <is>
          <t>f/5, 150-600mm, Nikon F</t>
        </is>
      </c>
    </row>
    <row r="179" ht="125" customHeight="1">
      <c r="A179" s="2" t="inlineStr">
        <is>
          <t>Tamron SP 24-70mm f/2.8 Lens for Nikon F</t>
        </is>
      </c>
      <c r="B179" s="3" t="n">
        <v>1500</v>
      </c>
      <c r="C179" s="4">
        <f>IMAGE("https://tse1.mm.bing.net/th?q=Tamron%20SP%2024-70mm%20f/2.8%20Lens%20for%20Nikon%20F", "Tamron SP 24-70mm f/2.8 Lens for Nikon F", 3, 120, 120)</f>
        <v/>
      </c>
      <c r="D179" s="2" t="inlineStr">
        <is>
          <t>https://tse1.mm.bing.net/th?q=Tamron%20SP%2024-70mm%20f/2.8%20Lens%20for%20Nikon%20F</t>
        </is>
      </c>
      <c r="E179" s="2" t="inlineStr">
        <is>
          <t>https://gripsfilmsrentals.com/product/tamron-sp-24-70mm-f-2-8-lens-for-nikon-f/</t>
        </is>
      </c>
      <c r="F179" s="2" t="inlineStr">
        <is>
          <t>https://gripsfilmsrentals.com/shop/</t>
        </is>
      </c>
      <c r="G179" s="8" t="inlineStr">
        <is>
          <t>Lenses</t>
        </is>
      </c>
      <c r="H179" s="8" t="inlineStr">
        <is>
          <t>Nikon</t>
        </is>
      </c>
      <c r="I179" s="8" t="inlineStr">
        <is>
          <t>Nikon</t>
        </is>
      </c>
      <c r="J179" s="9" t="inlineStr">
        <is>
          <t>f/2.8, 24-70mm, Nikon F</t>
        </is>
      </c>
    </row>
    <row r="180" ht="125" customHeight="1">
      <c r="A180" s="2" t="inlineStr">
        <is>
          <t>Dolly System with 5 Straight and 5 Curved Locking Tracks</t>
        </is>
      </c>
      <c r="B180" s="3" t="n">
        <v>6000</v>
      </c>
      <c r="C180" s="4">
        <f>IMAGE("https://tse1.mm.bing.net/th?q=Dolly%20System%20with%205%20Straight%20and%205%20Curved%20Locking%20Tracks", "Dolly System with 5 Straight and 5 Curved Locking Tracks", 3, 120, 120)</f>
        <v/>
      </c>
      <c r="D180" s="2" t="inlineStr">
        <is>
          <t>https://tse1.mm.bing.net/th?q=Dolly%20System%20with%205%20Straight%20and%205%20Curved%20Locking%20Tracks</t>
        </is>
      </c>
      <c r="E180" s="2" t="inlineStr">
        <is>
          <t>https://gripsfilmsrentals.com/product/dolly-system-with-5-straight-and-5-curved-locking-tracks/</t>
        </is>
      </c>
      <c r="F180" s="2" t="inlineStr">
        <is>
          <t>https://gripsfilmsrentals.com/shop/</t>
        </is>
      </c>
      <c r="G180" s="8" t="inlineStr">
        <is>
          <t>Motion</t>
        </is>
      </c>
      <c r="H180" s="8" t="inlineStr">
        <is>
          <t>Dolly / Slider / Jib</t>
        </is>
      </c>
      <c r="I180" s="8" t="inlineStr"/>
      <c r="J180" s="9" t="inlineStr"/>
    </row>
    <row r="181" ht="125" customHeight="1">
      <c r="A181" s="2" t="inlineStr">
        <is>
          <t>Professional Camera Slider (3 metres)</t>
        </is>
      </c>
      <c r="B181" s="3" t="n">
        <v>3500</v>
      </c>
      <c r="C181" s="4">
        <f>IMAGE("https://tse1.mm.bing.net/th?q=Professional%20Camera%20Slider%20%283%20metres%29", "Professional Camera Slider (3 metres)", 3, 120, 120)</f>
        <v/>
      </c>
      <c r="D181" s="2" t="inlineStr">
        <is>
          <t>https://tse1.mm.bing.net/th?q=Professional%20Camera%20Slider%20%283%20metres%29</t>
        </is>
      </c>
      <c r="E181" s="2" t="inlineStr">
        <is>
          <t>https://gripsfilmsrentals.com/product/professional-camera-slider-3-metres/</t>
        </is>
      </c>
      <c r="F181" s="2" t="inlineStr">
        <is>
          <t>https://gripsfilmsrentals.com/shop/</t>
        </is>
      </c>
      <c r="G181" s="8" t="inlineStr">
        <is>
          <t>Motion</t>
        </is>
      </c>
      <c r="H181" s="8" t="inlineStr">
        <is>
          <t>Dolly / Slider / Jib</t>
        </is>
      </c>
      <c r="I181" s="8" t="inlineStr"/>
      <c r="J181" s="9" t="inlineStr">
        <is>
          <t>3 metres</t>
        </is>
      </c>
    </row>
    <row r="182" ht="125" customHeight="1">
      <c r="A182" s="2" t="inlineStr">
        <is>
          <t>Professional Camera Slider (1 metre)</t>
        </is>
      </c>
      <c r="B182" s="3" t="n">
        <v>2000</v>
      </c>
      <c r="C182" s="4">
        <f>IMAGE("https://tse1.mm.bing.net/th?q=Professional%20Camera%20Slider%20%281%20metre%29", "Professional Camera Slider (1 metre)", 3, 120, 120)</f>
        <v/>
      </c>
      <c r="D182" s="2" t="inlineStr">
        <is>
          <t>https://tse1.mm.bing.net/th?q=Professional%20Camera%20Slider%20%281%20metre%29</t>
        </is>
      </c>
      <c r="E182" s="2" t="inlineStr">
        <is>
          <t>https://gripsfilmsrentals.com/product/professional-camera-slider-1-metre/</t>
        </is>
      </c>
      <c r="F182" s="2" t="inlineStr">
        <is>
          <t>https://gripsfilmsrentals.com/shop/</t>
        </is>
      </c>
      <c r="G182" s="8" t="inlineStr">
        <is>
          <t>Motion</t>
        </is>
      </c>
      <c r="H182" s="8" t="inlineStr">
        <is>
          <t>Dolly / Slider / Jib</t>
        </is>
      </c>
      <c r="I182" s="8" t="inlineStr"/>
      <c r="J182" s="9" t="inlineStr"/>
    </row>
    <row r="183" ht="125" customHeight="1">
      <c r="A183" s="2" t="inlineStr">
        <is>
          <t>RED DIGITAL CINEMA KOMODO 6K Camera</t>
        </is>
      </c>
      <c r="B183" s="3" t="n">
        <v>7000</v>
      </c>
      <c r="C183" s="4">
        <f>IMAGE("https://tse1.mm.bing.net/th?q=RED%20DIGITAL%20CINEMA%20KOMODO%206K%20Camera", "RED DIGITAL CINEMA KOMODO 6K Camera", 3, 120, 120)</f>
        <v/>
      </c>
      <c r="D183" s="2" t="inlineStr">
        <is>
          <t>https://tse1.mm.bing.net/th?q=RED%20DIGITAL%20CINEMA%20KOMODO%206K%20Camera</t>
        </is>
      </c>
      <c r="E183" s="2" t="inlineStr">
        <is>
          <t>https://gripsfilmsrentals.com/product/red-digital-cinema-komodo-6k-camera/</t>
        </is>
      </c>
      <c r="F183" s="2" t="inlineStr">
        <is>
          <t>https://gripsfilmsrentals.com/shop/</t>
        </is>
      </c>
      <c r="G183" s="8" t="inlineStr">
        <is>
          <t>Cameras</t>
        </is>
      </c>
      <c r="H183" s="8" t="inlineStr">
        <is>
          <t>Red Komodo</t>
        </is>
      </c>
      <c r="I183" s="8" t="inlineStr">
        <is>
          <t>RED</t>
        </is>
      </c>
      <c r="J183" s="9" t="inlineStr">
        <is>
          <t>6K, Cine, Cinema, Digital Cinema</t>
        </is>
      </c>
    </row>
    <row r="184" ht="125" customHeight="1">
      <c r="A184" s="2" t="inlineStr">
        <is>
          <t>Sony PXW-Z280 4K 3-CMOS 1/2″ Sensor XDCAM Camcorder</t>
        </is>
      </c>
      <c r="B184" s="3" t="n">
        <v>10000</v>
      </c>
      <c r="C184" s="4">
        <f>IMAGE("https://tse1.mm.bing.net/th?q=Sony%20PXW-Z280%204K%203-CMOS%201/2%E2%80%B3%20Sensor%20XDCAM%20Camcorder", "Sony PXW-Z280 4K 3-CMOS 1/2″ Sensor XDCAM Camcorder", 3, 120, 120)</f>
        <v/>
      </c>
      <c r="D184" s="2" t="inlineStr">
        <is>
          <t>https://tse1.mm.bing.net/th?q=Sony%20PXW-Z280%204K%203-CMOS%201/2%E2%80%B3%20Sensor%20XDCAM%20Camcorder</t>
        </is>
      </c>
      <c r="E184" s="2" t="inlineStr">
        <is>
          <t>https://gripsfilmsrentals.com/product/sony-pxw-z280-4k-3-cmos-1-2-sensor-xdcam-camcorder/</t>
        </is>
      </c>
      <c r="F184" s="2" t="inlineStr">
        <is>
          <t>https://gripsfilmsrentals.com/shop/</t>
        </is>
      </c>
      <c r="G184" s="8" t="inlineStr">
        <is>
          <t>Cameras</t>
        </is>
      </c>
      <c r="H184" s="8" t="inlineStr">
        <is>
          <t>Sony</t>
        </is>
      </c>
      <c r="I184" s="8" t="inlineStr">
        <is>
          <t>Sony</t>
        </is>
      </c>
      <c r="J184" s="9" t="inlineStr">
        <is>
          <t>4K, Camcorder</t>
        </is>
      </c>
    </row>
    <row r="185" ht="125" customHeight="1">
      <c r="A185" s="2" t="inlineStr">
        <is>
          <t>Sony NX-200 4K NXCAM Camcorder</t>
        </is>
      </c>
      <c r="B185" s="3" t="n">
        <v>3500</v>
      </c>
      <c r="C185" s="4">
        <f>IMAGE("https://tse1.mm.bing.net/th?q=Sony%20NX-200%204K%20NXCAM%20Camcorder", "Sony NX-200 4K NXCAM Camcorder", 3, 120, 120)</f>
        <v/>
      </c>
      <c r="D185" s="2" t="inlineStr">
        <is>
          <t>https://tse1.mm.bing.net/th?q=Sony%20NX-200%204K%20NXCAM%20Camcorder</t>
        </is>
      </c>
      <c r="E185" s="2" t="inlineStr">
        <is>
          <t>https://gripsfilmsrentals.com/product/sony-nx-200-4k-nxcam-camcorder/</t>
        </is>
      </c>
      <c r="F185" s="2" t="inlineStr">
        <is>
          <t>https://gripsfilmsrentals.com/shop/</t>
        </is>
      </c>
      <c r="G185" s="8" t="inlineStr">
        <is>
          <t>Cameras</t>
        </is>
      </c>
      <c r="H185" s="8" t="inlineStr">
        <is>
          <t>Sony</t>
        </is>
      </c>
      <c r="I185" s="8" t="inlineStr">
        <is>
          <t>Sony</t>
        </is>
      </c>
      <c r="J185" s="9" t="inlineStr">
        <is>
          <t>4K, Camcorder</t>
        </is>
      </c>
    </row>
    <row r="186" ht="125" customHeight="1">
      <c r="A186" s="2" t="inlineStr">
        <is>
          <t>Sony PXW-Z150 4K XDCAM Camcorder</t>
        </is>
      </c>
      <c r="B186" s="3" t="n">
        <v>4500</v>
      </c>
      <c r="C186" s="4">
        <f>IMAGE("https://tse1.mm.bing.net/th?q=Sony%20PXW-Z150%204K%20XDCAM%20Camcorder", "Sony PXW-Z150 4K XDCAM Camcorder", 3, 120, 120)</f>
        <v/>
      </c>
      <c r="D186" s="2" t="inlineStr">
        <is>
          <t>https://tse1.mm.bing.net/th?q=Sony%20PXW-Z150%204K%20XDCAM%20Camcorder</t>
        </is>
      </c>
      <c r="E186" s="2" t="inlineStr">
        <is>
          <t>https://gripsfilmsrentals.com/product/sony-pxw-z150-4k-xdcam-camcorder/</t>
        </is>
      </c>
      <c r="F186" s="2" t="inlineStr">
        <is>
          <t>https://gripsfilmsrentals.com/shop/</t>
        </is>
      </c>
      <c r="G186" s="8" t="inlineStr">
        <is>
          <t>Cameras</t>
        </is>
      </c>
      <c r="H186" s="8" t="inlineStr">
        <is>
          <t>Sony</t>
        </is>
      </c>
      <c r="I186" s="8" t="inlineStr">
        <is>
          <t>Sony</t>
        </is>
      </c>
      <c r="J186" s="9" t="inlineStr">
        <is>
          <t>4K, Camcorder</t>
        </is>
      </c>
    </row>
    <row r="187" ht="125" customHeight="1">
      <c r="A187" s="2" t="inlineStr">
        <is>
          <t>Rode Wireless GO Pro</t>
        </is>
      </c>
      <c r="B187" s="3" t="n">
        <v>1000</v>
      </c>
      <c r="C187" s="4">
        <f>IMAGE("https://tse1.mm.bing.net/th?q=Rode%20Wireless%20GO%20Pro", "Rode Wireless GO Pro", 3, 120, 120)</f>
        <v/>
      </c>
      <c r="D187" s="2" t="inlineStr">
        <is>
          <t>https://tse1.mm.bing.net/th?q=Rode%20Wireless%20GO%20Pro</t>
        </is>
      </c>
      <c r="E187" s="2" t="inlineStr">
        <is>
          <t>https://gripsfilmsrentals.com/product/rode-wireless-go-pro/</t>
        </is>
      </c>
      <c r="F187" s="2" t="inlineStr">
        <is>
          <t>https://gripsfilmsrentals.com/shop/</t>
        </is>
      </c>
      <c r="G187" s="8" t="inlineStr">
        <is>
          <t>Sound</t>
        </is>
      </c>
      <c r="H187" s="8" t="inlineStr">
        <is>
          <t>Microphone</t>
        </is>
      </c>
      <c r="I187" s="8" t="inlineStr">
        <is>
          <t>RODE</t>
        </is>
      </c>
      <c r="J187" s="9" t="inlineStr">
        <is>
          <t>Wireless</t>
        </is>
      </c>
    </row>
    <row r="188" ht="125" customHeight="1">
      <c r="A188" s="2" t="inlineStr">
        <is>
          <t>Impact Umbrella</t>
        </is>
      </c>
      <c r="B188" s="3" t="n">
        <v>500</v>
      </c>
      <c r="C188" s="4">
        <f>IMAGE("https://tse1.mm.bing.net/th?q=Impact%20Umbrella", "Impact Umbrella", 3, 120, 120)</f>
        <v/>
      </c>
      <c r="D188" s="2" t="inlineStr">
        <is>
          <t>https://tse1.mm.bing.net/th?q=Impact%20Umbrella</t>
        </is>
      </c>
      <c r="E188" s="2" t="inlineStr">
        <is>
          <t>https://gripsfilmsrentals.com/product/impact-umbrella/</t>
        </is>
      </c>
      <c r="F188" s="2" t="inlineStr">
        <is>
          <t>https://gripsfilmsrentals.com/shop/</t>
        </is>
      </c>
      <c r="G188" s="8" t="inlineStr">
        <is>
          <t>Modifiers</t>
        </is>
      </c>
      <c r="H188" s="8" t="inlineStr">
        <is>
          <t>Light Modifier</t>
        </is>
      </c>
      <c r="I188" s="8" t="inlineStr"/>
      <c r="J188" s="9" t="inlineStr"/>
    </row>
    <row r="189" ht="125" customHeight="1">
      <c r="A189" s="2" t="inlineStr">
        <is>
          <t>Aputure Fresnel</t>
        </is>
      </c>
      <c r="B189" s="3" t="n">
        <v>1000</v>
      </c>
      <c r="C189" s="4">
        <f>IMAGE("https://tse1.mm.bing.net/th?q=Aputure%20Fresnel", "Aputure Fresnel", 3, 120, 120)</f>
        <v/>
      </c>
      <c r="D189" s="2" t="inlineStr">
        <is>
          <t>https://tse1.mm.bing.net/th?q=Aputure%20Fresnel</t>
        </is>
      </c>
      <c r="E189" s="2" t="inlineStr">
        <is>
          <t>https://gripsfilmsrentals.com/product/aputure-fresnel/</t>
        </is>
      </c>
      <c r="F189" s="2" t="inlineStr">
        <is>
          <t>https://gripsfilmsrentals.com/shop/</t>
        </is>
      </c>
      <c r="G189" s="8" t="inlineStr">
        <is>
          <t>Modifiers</t>
        </is>
      </c>
      <c r="H189" s="8" t="inlineStr">
        <is>
          <t>Light Modifier</t>
        </is>
      </c>
      <c r="I189" s="8" t="inlineStr">
        <is>
          <t>Aputure</t>
        </is>
      </c>
      <c r="J189" s="9" t="inlineStr"/>
    </row>
    <row r="190" ht="125" customHeight="1">
      <c r="A190" s="2" t="inlineStr">
        <is>
          <t>Rosco Color Effects Filter Kit</t>
        </is>
      </c>
      <c r="B190" s="3" t="n">
        <v>200</v>
      </c>
      <c r="C190" s="4">
        <f>IMAGE("https://tse1.mm.bing.net/th?q=Rosco%20Color%20Effects%20Filter%20Kit", "Rosco Color Effects Filter Kit", 3, 120, 120)</f>
        <v/>
      </c>
      <c r="D190" s="2" t="inlineStr">
        <is>
          <t>https://tse1.mm.bing.net/th?q=Rosco%20Color%20Effects%20Filter%20Kit</t>
        </is>
      </c>
      <c r="E190" s="2" t="inlineStr">
        <is>
          <t>https://gripsfilmsrentals.com/product/rosco-color-effects-filter-kit/</t>
        </is>
      </c>
      <c r="F190" s="2" t="inlineStr">
        <is>
          <t>https://gripsfilmsrentals.com/shop/</t>
        </is>
      </c>
      <c r="G190" s="8" t="inlineStr">
        <is>
          <t>Modifiers</t>
        </is>
      </c>
      <c r="H190" s="8" t="inlineStr">
        <is>
          <t>Light Modifier</t>
        </is>
      </c>
      <c r="I190" s="8" t="inlineStr"/>
      <c r="J190" s="9" t="inlineStr"/>
    </row>
    <row r="191" ht="125" customHeight="1">
      <c r="A191" s="2" t="inlineStr">
        <is>
          <t>Parabolic</t>
        </is>
      </c>
      <c r="B191" s="3" t="n">
        <v>800</v>
      </c>
      <c r="C191" s="4">
        <f>IMAGE("https://tse1.mm.bing.net/th?q=Parabolic", "Parabolic", 3, 120, 120)</f>
        <v/>
      </c>
      <c r="D191" s="2" t="inlineStr">
        <is>
          <t>https://tse1.mm.bing.net/th?q=Parabolic</t>
        </is>
      </c>
      <c r="E191" s="2" t="inlineStr">
        <is>
          <t>https://gripsfilmsrentals.com/product/parabolic/</t>
        </is>
      </c>
      <c r="F191" s="2" t="inlineStr">
        <is>
          <t>https://gripsfilmsrentals.com/shop/</t>
        </is>
      </c>
      <c r="G191" s="8" t="inlineStr">
        <is>
          <t>Modifiers</t>
        </is>
      </c>
      <c r="H191" s="8" t="inlineStr">
        <is>
          <t>Light Modifier</t>
        </is>
      </c>
      <c r="I191" s="8" t="inlineStr"/>
      <c r="J191" s="9" t="inlineStr"/>
    </row>
    <row r="192" ht="125" customHeight="1">
      <c r="A192" s="2" t="inlineStr">
        <is>
          <t>Lantern Globe Softbox</t>
        </is>
      </c>
      <c r="B192" s="3" t="n">
        <v>500</v>
      </c>
      <c r="C192" s="4">
        <f>IMAGE("https://tse1.mm.bing.net/th?q=Lantern%20Globe%20Softbox", "Lantern Globe Softbox", 3, 120, 120)</f>
        <v/>
      </c>
      <c r="D192" s="2" t="inlineStr">
        <is>
          <t>https://tse1.mm.bing.net/th?q=Lantern%20Globe%20Softbox</t>
        </is>
      </c>
      <c r="E192" s="2" t="inlineStr">
        <is>
          <t>https://gripsfilmsrentals.com/product/lantern-globe-softbox/</t>
        </is>
      </c>
      <c r="F192" s="2" t="inlineStr">
        <is>
          <t>https://gripsfilmsrentals.com/shop/</t>
        </is>
      </c>
      <c r="G192" s="8" t="inlineStr">
        <is>
          <t>Modifiers</t>
        </is>
      </c>
      <c r="H192" s="8" t="inlineStr">
        <is>
          <t>Light Modifier</t>
        </is>
      </c>
      <c r="I192" s="8" t="inlineStr"/>
      <c r="J192" s="9" t="inlineStr"/>
    </row>
    <row r="193" ht="125" customHeight="1">
      <c r="A193" s="2" t="inlineStr">
        <is>
          <t>Godox S-Type Speedlite Bracket</t>
        </is>
      </c>
      <c r="B193" s="3" t="n">
        <v>200</v>
      </c>
      <c r="C193" s="4">
        <f>IMAGE("https://tse1.mm.bing.net/th?q=Godox%20S-Type%20Speedlite%20Bracket", "Godox S-Type Speedlite Bracket", 3, 120, 120)</f>
        <v/>
      </c>
      <c r="D193" s="2" t="inlineStr">
        <is>
          <t>https://tse1.mm.bing.net/th?q=Godox%20S-Type%20Speedlite%20Bracket</t>
        </is>
      </c>
      <c r="E193" s="2" t="inlineStr">
        <is>
          <t>https://gripsfilmsrentals.com/product/godox-s-type-speedlite-bracket/</t>
        </is>
      </c>
      <c r="F193" s="2" t="inlineStr">
        <is>
          <t>https://gripsfilmsrentals.com/shop/</t>
        </is>
      </c>
      <c r="G193" s="8" t="inlineStr">
        <is>
          <t>Photography / Video Accessories</t>
        </is>
      </c>
      <c r="H193" s="8" t="inlineStr">
        <is>
          <t>Accessory</t>
        </is>
      </c>
      <c r="I193" s="8" t="inlineStr">
        <is>
          <t>Godox</t>
        </is>
      </c>
      <c r="J193" s="9" t="inlineStr"/>
    </row>
    <row r="194" ht="125" customHeight="1">
      <c r="A194" s="2" t="inlineStr">
        <is>
          <t>Nikon D750</t>
        </is>
      </c>
      <c r="B194" s="3" t="n">
        <v>3000</v>
      </c>
      <c r="C194" s="4">
        <f>IMAGE("https://tse1.mm.bing.net/th?q=Nikon%20D750", "Nikon D750", 3, 120, 120)</f>
        <v/>
      </c>
      <c r="D194" s="2" t="inlineStr">
        <is>
          <t>https://tse1.mm.bing.net/th?q=Nikon%20D750</t>
        </is>
      </c>
      <c r="E194" s="2" t="inlineStr">
        <is>
          <t>https://gripsfilmsrentals.com/product/nikon-d750/</t>
        </is>
      </c>
      <c r="F194" s="2" t="inlineStr">
        <is>
          <t>https://gripsfilmsrentals.com/shop/</t>
        </is>
      </c>
      <c r="G194" s="8" t="inlineStr">
        <is>
          <t>Cameras</t>
        </is>
      </c>
      <c r="H194" s="8" t="inlineStr">
        <is>
          <t>Nikon</t>
        </is>
      </c>
      <c r="I194" s="8" t="inlineStr">
        <is>
          <t>Nikon</t>
        </is>
      </c>
      <c r="J194" s="9" t="inlineStr"/>
    </row>
    <row r="195" ht="125" customHeight="1">
      <c r="A195" s="2" t="inlineStr">
        <is>
          <t>Micro Converter BiDirectional SDI/HDMI</t>
        </is>
      </c>
      <c r="B195" s="3" t="n">
        <v>1000</v>
      </c>
      <c r="C195" s="4">
        <f>IMAGE("https://tse1.mm.bing.net/th?q=Micro%20Converter%20BiDirectional%20SDI/HDMI", "Micro Converter BiDirectional SDI/HDMI", 3, 120, 120)</f>
        <v/>
      </c>
      <c r="D195" s="2" t="inlineStr">
        <is>
          <t>https://tse1.mm.bing.net/th?q=Micro%20Converter%20BiDirectional%20SDI/HDMI</t>
        </is>
      </c>
      <c r="E195" s="2" t="inlineStr">
        <is>
          <t>https://gripsfilmsrentals.com/product/micro-converter-bidirectional-sdi-hdmi/</t>
        </is>
      </c>
      <c r="F195" s="2" t="inlineStr">
        <is>
          <t>https://gripsfilmsrentals.com/shop/</t>
        </is>
      </c>
      <c r="G195" s="8" t="inlineStr">
        <is>
          <t>Sound</t>
        </is>
      </c>
      <c r="H195" s="8" t="inlineStr">
        <is>
          <t>Microphone</t>
        </is>
      </c>
      <c r="I195" s="8" t="inlineStr"/>
      <c r="J195" s="9" t="inlineStr">
        <is>
          <t>SDI, HDMI</t>
        </is>
      </c>
    </row>
    <row r="196" ht="125" customHeight="1">
      <c r="A196" s="2" t="inlineStr">
        <is>
          <t>Elvis Mic</t>
        </is>
      </c>
      <c r="B196" s="3" t="n">
        <v>1000</v>
      </c>
      <c r="C196" s="4">
        <f>IMAGE("https://tse1.mm.bing.net/th?q=Elvis%20Mic", "Elvis Mic", 3, 120, 120)</f>
        <v/>
      </c>
      <c r="D196" s="2" t="inlineStr">
        <is>
          <t>https://tse1.mm.bing.net/th?q=Elvis%20Mic</t>
        </is>
      </c>
      <c r="E196" s="2" t="inlineStr">
        <is>
          <t>https://gripsfilmsrentals.com/product/elvis-mic/</t>
        </is>
      </c>
      <c r="F196" s="2" t="inlineStr">
        <is>
          <t>https://gripsfilmsrentals.com/shop/</t>
        </is>
      </c>
      <c r="G196" s="8" t="inlineStr">
        <is>
          <t>Sound</t>
        </is>
      </c>
      <c r="H196" s="8" t="inlineStr">
        <is>
          <t>Microphone</t>
        </is>
      </c>
      <c r="I196" s="8" t="inlineStr"/>
      <c r="J196" s="9" t="inlineStr"/>
    </row>
    <row r="197" ht="125" customHeight="1">
      <c r="A197" s="2" t="inlineStr">
        <is>
          <t>Aputure LS 600d Pro Light Storm Daylight LED Light (V-Mount)</t>
        </is>
      </c>
      <c r="B197" s="3" t="n">
        <v>5000</v>
      </c>
      <c r="C197" s="4">
        <f>IMAGE("https://tse1.mm.bing.net/th?q=Aputure%20LS%20600d%20Pro%20Light%20Storm%20Daylight%20LED%20Light%20%28V-Mount%29", "Aputure LS 600d Pro Light Storm Daylight LED Light (V-Mount)", 3, 120, 120)</f>
        <v/>
      </c>
      <c r="D197" s="2" t="inlineStr">
        <is>
          <t>https://tse1.mm.bing.net/th?q=Aputure%20LS%20600d%20Pro%20Light%20Storm%20Daylight%20LED%20Light%20%28V-Mount%29</t>
        </is>
      </c>
      <c r="E197" s="2" t="inlineStr">
        <is>
          <t>https://gripsfilmsrentals.com/product/aputure-ls-600d-pro-light-storm-daylight-led-light-v-mount/</t>
        </is>
      </c>
      <c r="F197" s="2" t="inlineStr">
        <is>
          <t>https://gripsfilmsrentals.com/shop/</t>
        </is>
      </c>
      <c r="G197" s="8" t="inlineStr">
        <is>
          <t>Batteries plus Chargers</t>
        </is>
      </c>
      <c r="H197" s="8" t="inlineStr">
        <is>
          <t>Battery / Charger</t>
        </is>
      </c>
      <c r="I197" s="8" t="inlineStr">
        <is>
          <t>Aputure</t>
        </is>
      </c>
      <c r="J197" s="9" t="inlineStr">
        <is>
          <t>V-Mount</t>
        </is>
      </c>
    </row>
    <row r="198" ht="125" customHeight="1">
      <c r="A198" s="2" t="inlineStr">
        <is>
          <t>ARRI True Blue D25 HMI 2500W Fresnel Kit with Ballast</t>
        </is>
      </c>
      <c r="B198" s="3" t="n">
        <v>8000</v>
      </c>
      <c r="C198" s="4">
        <f>IMAGE("https://tse1.mm.bing.net/th?q=ARRI%20True%20Blue%20D25%20HMI%202500W%20Fresnel%20Kit%20with%20Ballast", "ARRI True Blue D25 HMI 2500W Fresnel Kit with Ballast", 3, 120, 120)</f>
        <v/>
      </c>
      <c r="D198" s="2" t="inlineStr">
        <is>
          <t>https://tse1.mm.bing.net/th?q=ARRI%20True%20Blue%20D25%20HMI%202500W%20Fresnel%20Kit%20with%20Ballast</t>
        </is>
      </c>
      <c r="E198" s="2" t="inlineStr">
        <is>
          <t>https://gripsfilmsrentals.com/product/arri-true-blue-d25-hmi-2500w-fresnel-kit-with-ballast/</t>
        </is>
      </c>
      <c r="F198" s="2" t="inlineStr">
        <is>
          <t>https://gripsfilmsrentals.com/shop/</t>
        </is>
      </c>
      <c r="G198" s="8" t="inlineStr">
        <is>
          <t>Modifiers</t>
        </is>
      </c>
      <c r="H198" s="8" t="inlineStr">
        <is>
          <t>Light Modifier</t>
        </is>
      </c>
      <c r="I198" s="8" t="inlineStr">
        <is>
          <t>ARRI</t>
        </is>
      </c>
      <c r="J198" s="9" t="inlineStr">
        <is>
          <t>2500W</t>
        </is>
      </c>
    </row>
    <row r="199" ht="125" customHeight="1">
      <c r="A199" s="2" t="inlineStr">
        <is>
          <t>ARRI True Blue D12 HMI 1200W Fresnel Kit with Ballast</t>
        </is>
      </c>
      <c r="B199" s="3" t="n">
        <v>6000</v>
      </c>
      <c r="C199" s="4">
        <f>IMAGE("https://tse1.mm.bing.net/th?q=ARRI%20True%20Blue%20D12%20HMI%201200W%20Fresnel%20Kit%20with%20Ballast", "ARRI True Blue D12 HMI 1200W Fresnel Kit with Ballast", 3, 120, 120)</f>
        <v/>
      </c>
      <c r="D199" s="2" t="inlineStr">
        <is>
          <t>https://tse1.mm.bing.net/th?q=ARRI%20True%20Blue%20D12%20HMI%201200W%20Fresnel%20Kit%20with%20Ballast</t>
        </is>
      </c>
      <c r="E199" s="2" t="inlineStr">
        <is>
          <t>https://gripsfilmsrentals.com/product/arri-true-blue-d12-hmi-1200w-fresnel-kit-with-ballast/</t>
        </is>
      </c>
      <c r="F199" s="2" t="inlineStr">
        <is>
          <t>https://gripsfilmsrentals.com/shop/</t>
        </is>
      </c>
      <c r="G199" s="8" t="inlineStr">
        <is>
          <t>Modifiers</t>
        </is>
      </c>
      <c r="H199" s="8" t="inlineStr">
        <is>
          <t>Light Modifier</t>
        </is>
      </c>
      <c r="I199" s="8" t="inlineStr">
        <is>
          <t>ARRI</t>
        </is>
      </c>
      <c r="J199" s="9" t="inlineStr">
        <is>
          <t>1200W</t>
        </is>
      </c>
    </row>
    <row r="200" ht="125" customHeight="1">
      <c r="A200" s="2" t="inlineStr">
        <is>
          <t>ARRI M40 HMI 2.5/4kW Kit with Ballast</t>
        </is>
      </c>
      <c r="B200" s="3" t="n">
        <v>10000</v>
      </c>
      <c r="C200" s="4">
        <f>IMAGE("https://tse1.mm.bing.net/th?q=ARRI%20M40%20HMI%202.5/4kW%20Kit%20with%20Ballast", "ARRI M40 HMI 2.5/4kW Kit with Ballast", 3, 120, 120)</f>
        <v/>
      </c>
      <c r="D200" s="2" t="inlineStr">
        <is>
          <t>https://tse1.mm.bing.net/th?q=ARRI%20M40%20HMI%202.5/4kW%20Kit%20with%20Ballast</t>
        </is>
      </c>
      <c r="E200" s="2" t="inlineStr">
        <is>
          <t>https://gripsfilmsrentals.com/product/arri-m40-hmi-2-5-4kw-kit-with-ballast/</t>
        </is>
      </c>
      <c r="F200" s="2" t="inlineStr">
        <is>
          <t>https://gripsfilmsrentals.com/shop/</t>
        </is>
      </c>
      <c r="G200" s="8" t="inlineStr">
        <is>
          <t>Lights</t>
        </is>
      </c>
      <c r="H200" s="8" t="inlineStr">
        <is>
          <t>HMIS</t>
        </is>
      </c>
      <c r="I200" s="8" t="inlineStr">
        <is>
          <t>ARRI</t>
        </is>
      </c>
      <c r="J200" s="9" t="inlineStr">
        <is>
          <t>4K</t>
        </is>
      </c>
    </row>
    <row r="201" ht="125" customHeight="1">
      <c r="A201" s="2" t="inlineStr">
        <is>
          <t>ARRI M18 HMI 12/18kW Kit with Ballast</t>
        </is>
      </c>
      <c r="B201" s="3" t="n">
        <v>7000</v>
      </c>
      <c r="C201" s="4">
        <f>IMAGE("https://tse1.mm.bing.net/th?q=ARRI%20M18%20HMI%2012/18kW%20Kit%20with%20Ballast", "ARRI M18 HMI 12/18kW Kit with Ballast", 3, 120, 120)</f>
        <v/>
      </c>
      <c r="D201" s="2" t="inlineStr">
        <is>
          <t>https://tse1.mm.bing.net/th?q=ARRI%20M18%20HMI%2012/18kW%20Kit%20with%20Ballast</t>
        </is>
      </c>
      <c r="E201" s="2" t="inlineStr">
        <is>
          <t>https://gripsfilmsrentals.com/product/arri-m18-hmi-12-18kw-kit-with-ballast/</t>
        </is>
      </c>
      <c r="F201" s="2" t="inlineStr">
        <is>
          <t>https://gripsfilmsrentals.com/shop/</t>
        </is>
      </c>
      <c r="G201" s="8" t="inlineStr">
        <is>
          <t>Lights</t>
        </is>
      </c>
      <c r="H201" s="8" t="inlineStr">
        <is>
          <t>HMIS</t>
        </is>
      </c>
      <c r="I201" s="8" t="inlineStr">
        <is>
          <t>ARRI</t>
        </is>
      </c>
      <c r="J201" s="9" t="inlineStr">
        <is>
          <t>8K</t>
        </is>
      </c>
    </row>
    <row r="202" ht="125" customHeight="1">
      <c r="A202" s="2" t="inlineStr">
        <is>
          <t>Proaim 38′ Base Kit Professional Camera Jib Crane</t>
        </is>
      </c>
      <c r="B202" s="3" t="n">
        <v>20000</v>
      </c>
      <c r="C202" s="4">
        <f>IMAGE("https://tse1.mm.bing.net/th?q=Proaim%2038%E2%80%B2%20Base%20Kit%20Professional%20Camera%20Jib%20Crane", "Proaim 38′ Base Kit Professional Camera Jib Crane", 3, 120, 120)</f>
        <v/>
      </c>
      <c r="D202" s="2" t="inlineStr">
        <is>
          <t>https://tse1.mm.bing.net/th?q=Proaim%2038%E2%80%B2%20Base%20Kit%20Professional%20Camera%20Jib%20Crane</t>
        </is>
      </c>
      <c r="E202" s="2" t="inlineStr">
        <is>
          <t>https://gripsfilmsrentals.com/product/proaim-38-base-kit-professional-camera-jib-crane/</t>
        </is>
      </c>
      <c r="F202" s="2" t="inlineStr">
        <is>
          <t>https://gripsfilmsrentals.com/shop/</t>
        </is>
      </c>
      <c r="G202" s="8" t="inlineStr">
        <is>
          <t>Motion</t>
        </is>
      </c>
      <c r="H202" s="8" t="inlineStr">
        <is>
          <t>Dolly / Slider / Jib</t>
        </is>
      </c>
      <c r="I202" s="8" t="inlineStr">
        <is>
          <t>Proaim</t>
        </is>
      </c>
      <c r="J202" s="9" t="inlineStr"/>
    </row>
    <row r="203" ht="125" customHeight="1">
      <c r="A203" s="2" t="inlineStr">
        <is>
          <t>DJI Ronin 2</t>
        </is>
      </c>
      <c r="B203" s="3" t="n">
        <v>20000</v>
      </c>
      <c r="C203" s="4">
        <f>IMAGE("https://tse1.mm.bing.net/th?q=DJI%20Ronin%202", "DJI Ronin 2", 3, 120, 120)</f>
        <v/>
      </c>
      <c r="D203" s="2" t="inlineStr">
        <is>
          <t>https://tse1.mm.bing.net/th?q=DJI%20Ronin%202</t>
        </is>
      </c>
      <c r="E203" s="2" t="inlineStr">
        <is>
          <t>https://gripsfilmsrentals.com/product/dji-ronin-2/</t>
        </is>
      </c>
      <c r="F203" s="2" t="inlineStr">
        <is>
          <t>https://gripsfilmsrentals.com/shop/</t>
        </is>
      </c>
      <c r="G203" s="8" t="inlineStr">
        <is>
          <t>Stabilizers</t>
        </is>
      </c>
      <c r="H203" s="8" t="inlineStr">
        <is>
          <t>Gimbal / Stabilizer</t>
        </is>
      </c>
      <c r="I203" s="8" t="inlineStr">
        <is>
          <t>DJI</t>
        </is>
      </c>
      <c r="J203" s="9" t="inlineStr"/>
    </row>
    <row r="204" ht="125" customHeight="1">
      <c r="A204" s="2" t="inlineStr">
        <is>
          <t>Godox AD400Pro</t>
        </is>
      </c>
      <c r="B204" s="3" t="n">
        <v>1300</v>
      </c>
      <c r="C204" s="4">
        <f>IMAGE("https://tse1.mm.bing.net/th?q=Godox%20AD400Pro", "Godox AD400Pro", 3, 120, 120)</f>
        <v/>
      </c>
      <c r="D204" s="2" t="inlineStr">
        <is>
          <t>https://tse1.mm.bing.net/th?q=Godox%20AD400Pro</t>
        </is>
      </c>
      <c r="E204" s="2" t="inlineStr">
        <is>
          <t>https://gripsfilmsrentals.com/product/godox-ad400pro/</t>
        </is>
      </c>
      <c r="F204" s="2" t="inlineStr">
        <is>
          <t>https://gripsfilmsrentals.com/shop/</t>
        </is>
      </c>
      <c r="G204" s="8" t="inlineStr">
        <is>
          <t>Lights</t>
        </is>
      </c>
      <c r="H204" s="8" t="inlineStr">
        <is>
          <t>Strobe Lights</t>
        </is>
      </c>
      <c r="I204" s="8" t="inlineStr">
        <is>
          <t>Godox</t>
        </is>
      </c>
      <c r="J204" s="9" t="inlineStr"/>
    </row>
    <row r="205" ht="125" customHeight="1">
      <c r="A205" s="2" t="inlineStr">
        <is>
          <t>ARRI Orbiter LED Light</t>
        </is>
      </c>
      <c r="B205" s="3" t="n">
        <v>5000</v>
      </c>
      <c r="C205" s="4">
        <f>IMAGE("https://tse1.mm.bing.net/th?q=ARRI%20Orbiter%20LED%20Light", "ARRI Orbiter LED Light", 3, 120, 120)</f>
        <v/>
      </c>
      <c r="D205" s="2" t="inlineStr">
        <is>
          <t>https://tse1.mm.bing.net/th?q=ARRI%20Orbiter%20LED%20Light</t>
        </is>
      </c>
      <c r="E205" s="2" t="inlineStr">
        <is>
          <t>https://gripsfilmsrentals.com/product/arri-orbiter-led-light/</t>
        </is>
      </c>
      <c r="F205" s="2" t="inlineStr">
        <is>
          <t>https://gripsfilmsrentals.com/shop/</t>
        </is>
      </c>
      <c r="G205" s="8" t="inlineStr">
        <is>
          <t>Lights</t>
        </is>
      </c>
      <c r="H205" s="8" t="inlineStr">
        <is>
          <t>Continous lights</t>
        </is>
      </c>
      <c r="I205" s="8" t="inlineStr">
        <is>
          <t>ARRI</t>
        </is>
      </c>
      <c r="J205" s="9" t="inlineStr"/>
    </row>
    <row r="206" ht="125" customHeight="1">
      <c r="A206" s="2" t="inlineStr">
        <is>
          <t>ARRI SkyPanel S120-C LED Softlight</t>
        </is>
      </c>
      <c r="B206" s="3" t="n">
        <v>6000</v>
      </c>
      <c r="C206" s="4">
        <f>IMAGE("https://tse1.mm.bing.net/th?q=ARRI%20SkyPanel%20S120-C%20LED%20Softlight", "ARRI SkyPanel S120-C LED Softlight", 3, 120, 120)</f>
        <v/>
      </c>
      <c r="D206" s="2" t="inlineStr">
        <is>
          <t>https://tse1.mm.bing.net/th?q=ARRI%20SkyPanel%20S120-C%20LED%20Softlight</t>
        </is>
      </c>
      <c r="E206" s="2" t="inlineStr">
        <is>
          <t>https://gripsfilmsrentals.com/product/arri-skypanel-s120-c-led-softlight/</t>
        </is>
      </c>
      <c r="F206" s="2" t="inlineStr">
        <is>
          <t>https://gripsfilmsrentals.com/shop/</t>
        </is>
      </c>
      <c r="G206" s="8" t="inlineStr">
        <is>
          <t>Lights</t>
        </is>
      </c>
      <c r="H206" s="8" t="inlineStr">
        <is>
          <t>Continous lights</t>
        </is>
      </c>
      <c r="I206" s="8" t="inlineStr">
        <is>
          <t>ARRI</t>
        </is>
      </c>
      <c r="J206" s="9" t="inlineStr"/>
    </row>
    <row r="207" ht="125" customHeight="1">
      <c r="A207" s="2" t="inlineStr">
        <is>
          <t>Sigma 14-24mm f/2.8 DG DN Art Lens for Sony E</t>
        </is>
      </c>
      <c r="B207" s="3" t="n">
        <v>3000</v>
      </c>
      <c r="C207" s="4">
        <f>IMAGE("https://tse1.mm.bing.net/th?q=Sigma%2014-24mm%20f/2.8%20DG%20DN%20Art%20Lens%20for%20Sony%20E", "Sigma 14-24mm f/2.8 DG DN Art Lens for Sony E", 3, 120, 120)</f>
        <v/>
      </c>
      <c r="D207" s="2" t="inlineStr">
        <is>
          <t>https://tse1.mm.bing.net/th?q=Sigma%2014-24mm%20f/2.8%20DG%20DN%20Art%20Lens%20for%20Sony%20E</t>
        </is>
      </c>
      <c r="E207" s="2" t="inlineStr">
        <is>
          <t>https://gripsfilmsrentals.com/product/sigma-14-24mm-f-2-8-dg-dn-art-lens-for-sony-e/</t>
        </is>
      </c>
      <c r="F207" s="2" t="inlineStr">
        <is>
          <t>https://gripsfilmsrentals.com/shop/</t>
        </is>
      </c>
      <c r="G207" s="8" t="inlineStr">
        <is>
          <t>Lenses</t>
        </is>
      </c>
      <c r="H207" s="8" t="inlineStr">
        <is>
          <t>Sony</t>
        </is>
      </c>
      <c r="I207" s="8" t="inlineStr">
        <is>
          <t>Sony</t>
        </is>
      </c>
      <c r="J207" s="9" t="inlineStr">
        <is>
          <t>f/2.8, 14-24mm, Sony E</t>
        </is>
      </c>
    </row>
    <row r="208" ht="125" customHeight="1">
      <c r="A208" s="2" t="inlineStr">
        <is>
          <t>Rokinon Xeen 135mm T2.2 Lens with Canon EF Mount</t>
        </is>
      </c>
      <c r="B208" s="3" t="n">
        <v>2000</v>
      </c>
      <c r="C208" s="4">
        <f>IMAGE("https://tse1.mm.bing.net/th?q=Rokinon%20Xeen%20135mm%20T2.2%20Lens%20with%20Canon%20EF%20Mount", "Rokinon Xeen 135mm T2.2 Lens with Canon EF Mount", 3, 120, 120)</f>
        <v/>
      </c>
      <c r="D208" s="2" t="inlineStr">
        <is>
          <t>https://tse1.mm.bing.net/th?q=Rokinon%20Xeen%20135mm%20T2.2%20Lens%20with%20Canon%20EF%20Mount</t>
        </is>
      </c>
      <c r="E208" s="2" t="inlineStr">
        <is>
          <t>https://gripsfilmsrentals.com/product/rokinon-xeen-135mm-t2-2-lens-with-canon-ef-mount/</t>
        </is>
      </c>
      <c r="F208" s="2" t="inlineStr">
        <is>
          <t>https://gripsfilmsrentals.com/shop/</t>
        </is>
      </c>
      <c r="G208" s="8" t="inlineStr">
        <is>
          <t>Lenses</t>
        </is>
      </c>
      <c r="H208" s="8" t="inlineStr">
        <is>
          <t>Canon</t>
        </is>
      </c>
      <c r="I208" s="8" t="inlineStr">
        <is>
          <t>Canon</t>
        </is>
      </c>
      <c r="J208" s="9" t="inlineStr">
        <is>
          <t>135mm, Canon EF</t>
        </is>
      </c>
    </row>
    <row r="209" ht="125" customHeight="1">
      <c r="A209" s="2" t="inlineStr">
        <is>
          <t>Rokinon Xeen 14mm T3.1 Lens for Canon EF Mount</t>
        </is>
      </c>
      <c r="B209" s="3" t="n">
        <v>2000</v>
      </c>
      <c r="C209" s="4">
        <f>IMAGE("https://tse1.mm.bing.net/th?q=Rokinon%20Xeen%2014mm%20T3.1%20Lens%20for%20Canon%20EF%20Mount", "Rokinon Xeen 14mm T3.1 Lens for Canon EF Mount", 3, 120, 120)</f>
        <v/>
      </c>
      <c r="D209" s="2" t="inlineStr">
        <is>
          <t>https://tse1.mm.bing.net/th?q=Rokinon%20Xeen%2014mm%20T3.1%20Lens%20for%20Canon%20EF%20Mount</t>
        </is>
      </c>
      <c r="E209" s="2" t="inlineStr">
        <is>
          <t>https://gripsfilmsrentals.com/product/rokinon-xeen-14mm-t3-1-lens-for-canon-ef-mount/</t>
        </is>
      </c>
      <c r="F209" s="2" t="inlineStr">
        <is>
          <t>https://gripsfilmsrentals.com/shop/</t>
        </is>
      </c>
      <c r="G209" s="8" t="inlineStr">
        <is>
          <t>Lenses</t>
        </is>
      </c>
      <c r="H209" s="8" t="inlineStr">
        <is>
          <t>Canon</t>
        </is>
      </c>
      <c r="I209" s="8" t="inlineStr">
        <is>
          <t>Canon</t>
        </is>
      </c>
      <c r="J209" s="9" t="inlineStr">
        <is>
          <t>14mm, Canon EF</t>
        </is>
      </c>
    </row>
    <row r="210" ht="125" customHeight="1">
      <c r="A210" s="2" t="inlineStr">
        <is>
          <t>Rokinon XEEN CF 85mm T1.5 Pro Cine Lens</t>
        </is>
      </c>
      <c r="B210" s="3" t="n">
        <v>3000</v>
      </c>
      <c r="C210" s="4">
        <f>IMAGE("https://tse1.mm.bing.net/th?q=Rokinon%20XEEN%20CF%2085mm%20T1.5%20Pro%20Cine%20Lens", "Rokinon XEEN CF 85mm T1.5 Pro Cine Lens", 3, 120, 120)</f>
        <v/>
      </c>
      <c r="D210" s="2" t="inlineStr">
        <is>
          <t>https://tse1.mm.bing.net/th?q=Rokinon%20XEEN%20CF%2085mm%20T1.5%20Pro%20Cine%20Lens</t>
        </is>
      </c>
      <c r="E210" s="2" t="inlineStr">
        <is>
          <t>https://gripsfilmsrentals.com/product/rokinon-xeen-cf-85mm-t1-5-pro-cine-lens/</t>
        </is>
      </c>
      <c r="F210" s="2" t="inlineStr">
        <is>
          <t>https://gripsfilmsrentals.com/shop/</t>
        </is>
      </c>
      <c r="G210" s="8" t="inlineStr">
        <is>
          <t>Lenses</t>
        </is>
      </c>
      <c r="H210" s="8" t="inlineStr">
        <is>
          <t>Rokinon</t>
        </is>
      </c>
      <c r="I210" s="8" t="inlineStr">
        <is>
          <t>Rokinon</t>
        </is>
      </c>
      <c r="J210" s="9" t="inlineStr">
        <is>
          <t>85mm, Cine</t>
        </is>
      </c>
    </row>
    <row r="211" ht="125" customHeight="1">
      <c r="A211" s="2" t="inlineStr">
        <is>
          <t>Rokinon XEEN CF 50mm T1.5 Pro Cine Lens</t>
        </is>
      </c>
      <c r="B211" s="3" t="n">
        <v>3000</v>
      </c>
      <c r="C211" s="4">
        <f>IMAGE("https://tse1.mm.bing.net/th?q=Rokinon%20XEEN%20CF%2050mm%20T1.5%20Pro%20Cine%20Lens", "Rokinon XEEN CF 50mm T1.5 Pro Cine Lens", 3, 120, 120)</f>
        <v/>
      </c>
      <c r="D211" s="2" t="inlineStr">
        <is>
          <t>https://tse1.mm.bing.net/th?q=Rokinon%20XEEN%20CF%2050mm%20T1.5%20Pro%20Cine%20Lens</t>
        </is>
      </c>
      <c r="E211" s="2" t="inlineStr">
        <is>
          <t>https://gripsfilmsrentals.com/product/rokinon-xeen-cf-50mm-t1-5-pro-cine-lens/</t>
        </is>
      </c>
      <c r="F211" s="2" t="inlineStr">
        <is>
          <t>https://gripsfilmsrentals.com/shop/</t>
        </is>
      </c>
      <c r="G211" s="8" t="inlineStr">
        <is>
          <t>Lenses</t>
        </is>
      </c>
      <c r="H211" s="8" t="inlineStr">
        <is>
          <t>Rokinon</t>
        </is>
      </c>
      <c r="I211" s="8" t="inlineStr">
        <is>
          <t>Rokinon</t>
        </is>
      </c>
      <c r="J211" s="9" t="inlineStr">
        <is>
          <t>50mm, Cine</t>
        </is>
      </c>
    </row>
    <row r="212" ht="125" customHeight="1">
      <c r="A212" s="2" t="inlineStr">
        <is>
          <t>Rokinon XEEN CF 35mm T1.5 Pro Cine Lens</t>
        </is>
      </c>
      <c r="B212" s="3" t="n">
        <v>3000</v>
      </c>
      <c r="C212" s="4">
        <f>IMAGE("https://tse1.mm.bing.net/th?q=Rokinon%20XEEN%20CF%2035mm%20T1.5%20Pro%20Cine%20Lens", "Rokinon XEEN CF 35mm T1.5 Pro Cine Lens", 3, 120, 120)</f>
        <v/>
      </c>
      <c r="D212" s="2" t="inlineStr">
        <is>
          <t>https://tse1.mm.bing.net/th?q=Rokinon%20XEEN%20CF%2035mm%20T1.5%20Pro%20Cine%20Lens</t>
        </is>
      </c>
      <c r="E212" s="2" t="inlineStr">
        <is>
          <t>https://gripsfilmsrentals.com/product/rokinon-xeen-cf-35mm-t1-5-pro-cine-lens/</t>
        </is>
      </c>
      <c r="F212" s="2" t="inlineStr">
        <is>
          <t>https://gripsfilmsrentals.com/shop/</t>
        </is>
      </c>
      <c r="G212" s="8" t="inlineStr">
        <is>
          <t>Lenses</t>
        </is>
      </c>
      <c r="H212" s="8" t="inlineStr">
        <is>
          <t>Rokinon</t>
        </is>
      </c>
      <c r="I212" s="8" t="inlineStr">
        <is>
          <t>Rokinon</t>
        </is>
      </c>
      <c r="J212" s="9" t="inlineStr">
        <is>
          <t>35mm, Cine</t>
        </is>
      </c>
    </row>
    <row r="213" ht="125" customHeight="1">
      <c r="A213" s="2" t="inlineStr">
        <is>
          <t>Rokinon XEEN CF 24mm T1.5 Pro Cine Lens</t>
        </is>
      </c>
      <c r="B213" s="3" t="n">
        <v>3000</v>
      </c>
      <c r="C213" s="4">
        <f>IMAGE("https://tse1.mm.bing.net/th?q=Rokinon%20XEEN%20CF%2024mm%20T1.5%20Pro%20Cine%20Lens", "Rokinon XEEN CF 24mm T1.5 Pro Cine Lens", 3, 120, 120)</f>
        <v/>
      </c>
      <c r="D213" s="2" t="inlineStr">
        <is>
          <t>https://tse1.mm.bing.net/th?q=Rokinon%20XEEN%20CF%2024mm%20T1.5%20Pro%20Cine%20Lens</t>
        </is>
      </c>
      <c r="E213" s="2" t="inlineStr">
        <is>
          <t>https://gripsfilmsrentals.com/product/rokinon-xeen-cf-24mm-t1-5-pro-cine-lens/</t>
        </is>
      </c>
      <c r="F213" s="2" t="inlineStr">
        <is>
          <t>https://gripsfilmsrentals.com/shop/</t>
        </is>
      </c>
      <c r="G213" s="8" t="inlineStr">
        <is>
          <t>Lenses</t>
        </is>
      </c>
      <c r="H213" s="8" t="inlineStr">
        <is>
          <t>Rokinon</t>
        </is>
      </c>
      <c r="I213" s="8" t="inlineStr">
        <is>
          <t>Rokinon</t>
        </is>
      </c>
      <c r="J213" s="9" t="inlineStr">
        <is>
          <t>24mm, Cine</t>
        </is>
      </c>
    </row>
    <row r="214" ht="125" customHeight="1">
      <c r="A214" s="2" t="inlineStr">
        <is>
          <t>Canon Extender RF 2x</t>
        </is>
      </c>
      <c r="B214" s="3" t="n">
        <v>1000</v>
      </c>
      <c r="C214" s="4">
        <f>IMAGE("https://tse1.mm.bing.net/th?q=Canon%20Extender%20RF%202x", "Canon Extender RF 2x", 3, 120, 120)</f>
        <v/>
      </c>
      <c r="D214" s="2" t="inlineStr">
        <is>
          <t>https://tse1.mm.bing.net/th?q=Canon%20Extender%20RF%202x</t>
        </is>
      </c>
      <c r="E214" s="2" t="inlineStr">
        <is>
          <t>https://gripsfilmsrentals.com/product/canon-extender-rf-2x/</t>
        </is>
      </c>
      <c r="F214" s="2" t="inlineStr">
        <is>
          <t>https://gripsfilmsrentals.com/shop/</t>
        </is>
      </c>
      <c r="G214" s="8" t="inlineStr">
        <is>
          <t>Lenses</t>
        </is>
      </c>
      <c r="H214" s="8" t="inlineStr">
        <is>
          <t>Canon</t>
        </is>
      </c>
      <c r="I214" s="8" t="inlineStr">
        <is>
          <t>Canon</t>
        </is>
      </c>
      <c r="J214" s="9" t="inlineStr">
        <is>
          <t>2x</t>
        </is>
      </c>
    </row>
    <row r="215" ht="125" customHeight="1">
      <c r="A215" s="2" t="inlineStr">
        <is>
          <t>Sony FE 2.0x Teleconverter</t>
        </is>
      </c>
      <c r="B215" s="3" t="n">
        <v>1000</v>
      </c>
      <c r="C215" s="4">
        <f>IMAGE("https://tse1.mm.bing.net/th?q=Sony%20FE%202.0x%20Teleconverter", "Sony FE 2.0x Teleconverter", 3, 120, 120)</f>
        <v/>
      </c>
      <c r="D215" s="2" t="inlineStr">
        <is>
          <t>https://tse1.mm.bing.net/th?q=Sony%20FE%202.0x%20Teleconverter</t>
        </is>
      </c>
      <c r="E215" s="2" t="inlineStr">
        <is>
          <t>https://gripsfilmsrentals.com/product/sony-fe-2-0x-teleconverter/</t>
        </is>
      </c>
      <c r="F215" s="2" t="inlineStr">
        <is>
          <t>https://gripsfilmsrentals.com/shop/</t>
        </is>
      </c>
      <c r="G215" s="8" t="inlineStr">
        <is>
          <t>Photography / Video Accessories</t>
        </is>
      </c>
      <c r="H215" s="8" t="inlineStr">
        <is>
          <t>Accessory</t>
        </is>
      </c>
      <c r="I215" s="8" t="inlineStr">
        <is>
          <t>Sony</t>
        </is>
      </c>
      <c r="J215" s="9" t="inlineStr">
        <is>
          <t>0x</t>
        </is>
      </c>
    </row>
    <row r="216" ht="125" customHeight="1">
      <c r="A216" s="2" t="inlineStr">
        <is>
          <t>Canon Extender EF 2X III</t>
        </is>
      </c>
      <c r="B216" s="3" t="n">
        <v>1000</v>
      </c>
      <c r="C216" s="4">
        <f>IMAGE("https://tse1.mm.bing.net/th?q=Canon%20Extender%20EF%202X%20III", "Canon Extender EF 2X III", 3, 120, 120)</f>
        <v/>
      </c>
      <c r="D216" s="2" t="inlineStr">
        <is>
          <t>https://tse1.mm.bing.net/th?q=Canon%20Extender%20EF%202X%20III</t>
        </is>
      </c>
      <c r="E216" s="2" t="inlineStr">
        <is>
          <t>https://gripsfilmsrentals.com/product/canon-extender-ef-2x-iii/</t>
        </is>
      </c>
      <c r="F216" s="2" t="inlineStr">
        <is>
          <t>https://gripsfilmsrentals.com/shop/</t>
        </is>
      </c>
      <c r="G216" s="8" t="inlineStr">
        <is>
          <t>Lenses</t>
        </is>
      </c>
      <c r="H216" s="8" t="inlineStr">
        <is>
          <t>Canon</t>
        </is>
      </c>
      <c r="I216" s="8" t="inlineStr">
        <is>
          <t>Canon</t>
        </is>
      </c>
      <c r="J216" s="9" t="inlineStr">
        <is>
          <t>2X</t>
        </is>
      </c>
    </row>
    <row r="217" ht="125" customHeight="1">
      <c r="A217" s="2" t="inlineStr">
        <is>
          <t>Amaran 200x Bi-Color LED Light</t>
        </is>
      </c>
      <c r="B217" s="3" t="n">
        <v>2000</v>
      </c>
      <c r="C217" s="4">
        <f>IMAGE("https://tse1.mm.bing.net/th?q=Amaran%20200x%20Bi-Color%20LED%20Light", "Amaran 200x Bi-Color LED Light", 3, 120, 120)</f>
        <v/>
      </c>
      <c r="D217" s="2" t="inlineStr">
        <is>
          <t>https://tse1.mm.bing.net/th?q=Amaran%20200x%20Bi-Color%20LED%20Light</t>
        </is>
      </c>
      <c r="E217" s="2" t="inlineStr">
        <is>
          <t>https://gripsfilmsrentals.com/product/amaran-200x-bi-color-led-light/</t>
        </is>
      </c>
      <c r="F217" s="2" t="inlineStr">
        <is>
          <t>https://gripsfilmsrentals.com/shop/</t>
        </is>
      </c>
      <c r="G217" s="8" t="inlineStr">
        <is>
          <t>Lights</t>
        </is>
      </c>
      <c r="H217" s="8" t="inlineStr">
        <is>
          <t>Continous lights</t>
        </is>
      </c>
      <c r="I217" s="8" t="inlineStr">
        <is>
          <t>Amaran</t>
        </is>
      </c>
      <c r="J217" s="9" t="inlineStr">
        <is>
          <t>200x, Bi-Color</t>
        </is>
      </c>
    </row>
    <row r="218" ht="125" customHeight="1">
      <c r="A218" s="2" t="inlineStr">
        <is>
          <t>Canon EF 100-400mm Lens</t>
        </is>
      </c>
      <c r="B218" s="3" t="n">
        <v>3000</v>
      </c>
      <c r="C218" s="4">
        <f>IMAGE("https://tse1.mm.bing.net/th?q=Canon%20EF%20100-400mm%20Lens", "Canon EF 100-400mm Lens", 3, 120, 120)</f>
        <v/>
      </c>
      <c r="D218" s="2" t="inlineStr">
        <is>
          <t>https://tse1.mm.bing.net/th?q=Canon%20EF%20100-400mm%20Lens</t>
        </is>
      </c>
      <c r="E218" s="2" t="inlineStr">
        <is>
          <t>https://gripsfilmsrentals.com/product/canon-ef-100-400mm-lens/</t>
        </is>
      </c>
      <c r="F218" s="2" t="inlineStr">
        <is>
          <t>https://gripsfilmsrentals.com/shop/</t>
        </is>
      </c>
      <c r="G218" s="8" t="inlineStr">
        <is>
          <t>Lenses</t>
        </is>
      </c>
      <c r="H218" s="8" t="inlineStr">
        <is>
          <t>Canon</t>
        </is>
      </c>
      <c r="I218" s="8" t="inlineStr">
        <is>
          <t>Canon</t>
        </is>
      </c>
      <c r="J218" s="9" t="inlineStr">
        <is>
          <t>100-400mm, Canon EF</t>
        </is>
      </c>
    </row>
    <row r="219" ht="125" customHeight="1">
      <c r="A219" s="2" t="inlineStr">
        <is>
          <t>Sony FE 100-400mm</t>
        </is>
      </c>
      <c r="B219" s="3" t="n">
        <v>3500</v>
      </c>
      <c r="C219" s="4">
        <f>IMAGE("https://tse1.mm.bing.net/th?q=Sony%20FE%20100-400mm", "Sony FE 100-400mm", 3, 120, 120)</f>
        <v/>
      </c>
      <c r="D219" s="2" t="inlineStr">
        <is>
          <t>https://tse1.mm.bing.net/th?q=Sony%20FE%20100-400mm</t>
        </is>
      </c>
      <c r="E219" s="2" t="inlineStr">
        <is>
          <t>https://gripsfilmsrentals.com/product/sony-fe-100-400mm/</t>
        </is>
      </c>
      <c r="F219" s="2" t="inlineStr">
        <is>
          <t>https://gripsfilmsrentals.com/shop/</t>
        </is>
      </c>
      <c r="G219" s="8" t="inlineStr">
        <is>
          <t>Photography / Video Accessories</t>
        </is>
      </c>
      <c r="H219" s="8" t="inlineStr">
        <is>
          <t>Accessory</t>
        </is>
      </c>
      <c r="I219" s="8" t="inlineStr">
        <is>
          <t>Sony</t>
        </is>
      </c>
      <c r="J219" s="9" t="inlineStr">
        <is>
          <t>100-400mm</t>
        </is>
      </c>
    </row>
    <row r="220" ht="125" customHeight="1">
      <c r="A220" s="2" t="inlineStr">
        <is>
          <t>SmallHD Focus Pro 5.5″ OLED Monitor</t>
        </is>
      </c>
      <c r="B220" s="3" t="n">
        <v>3500</v>
      </c>
      <c r="C220" s="4">
        <f>IMAGE("https://tse1.mm.bing.net/th?q=SmallHD%20Focus%20Pro%205.5%E2%80%B3%20OLED%20Monitor", "SmallHD Focus Pro 5.5″ OLED Monitor", 3, 120, 120)</f>
        <v/>
      </c>
      <c r="D220" s="2" t="inlineStr">
        <is>
          <t>https://tse1.mm.bing.net/th?q=SmallHD%20Focus%20Pro%205.5%E2%80%B3%20OLED%20Monitor</t>
        </is>
      </c>
      <c r="E220" s="2" t="inlineStr">
        <is>
          <t>https://gripsfilmsrentals.com/product/smallhd-focus-pro-5-5-oled-monitor/</t>
        </is>
      </c>
      <c r="F220" s="2" t="inlineStr">
        <is>
          <t>https://gripsfilmsrentals.com/shop/</t>
        </is>
      </c>
      <c r="G220" s="8" t="inlineStr">
        <is>
          <t>External Monitors</t>
        </is>
      </c>
      <c r="H220" s="8" t="inlineStr">
        <is>
          <t>External Monitor</t>
        </is>
      </c>
      <c r="I220" s="8" t="inlineStr">
        <is>
          <t>SmallHD</t>
        </is>
      </c>
      <c r="J220" s="9" t="inlineStr"/>
    </row>
    <row r="221" ht="125" customHeight="1">
      <c r="A221" s="2" t="inlineStr">
        <is>
          <t>SmallHD 702 OLED 7″ On-Camera Monitor</t>
        </is>
      </c>
      <c r="B221" s="3" t="n">
        <v>5000</v>
      </c>
      <c r="C221" s="4">
        <f>IMAGE("https://tse1.mm.bing.net/th?q=SmallHD%20702%20OLED%207%E2%80%B3%20On-Camera%20Monitor", "SmallHD 702 OLED 7″ On-Camera Monitor", 3, 120, 120)</f>
        <v/>
      </c>
      <c r="D221" s="2" t="inlineStr">
        <is>
          <t>https://tse1.mm.bing.net/th?q=SmallHD%20702%20OLED%207%E2%80%B3%20On-Camera%20Monitor</t>
        </is>
      </c>
      <c r="E221" s="2" t="inlineStr">
        <is>
          <t>https://gripsfilmsrentals.com/product/smallhd-702-oled-7-on-camera-monitor/</t>
        </is>
      </c>
      <c r="F221" s="2" t="inlineStr">
        <is>
          <t>https://gripsfilmsrentals.com/shop/</t>
        </is>
      </c>
      <c r="G221" s="8" t="inlineStr">
        <is>
          <t>External Monitors</t>
        </is>
      </c>
      <c r="H221" s="8" t="inlineStr">
        <is>
          <t>External Monitor</t>
        </is>
      </c>
      <c r="I221" s="8" t="inlineStr">
        <is>
          <t>SmallHD</t>
        </is>
      </c>
      <c r="J221" s="9" t="inlineStr"/>
    </row>
    <row r="222" ht="125" customHeight="1">
      <c r="A222" s="2" t="inlineStr">
        <is>
          <t>Sony PXW-FX9 XDCAM 6K (Body only)</t>
        </is>
      </c>
      <c r="B222" s="3" t="n">
        <v>9500</v>
      </c>
      <c r="C222" s="4">
        <f>IMAGE("https://tse1.mm.bing.net/th?q=Sony%20PXW-FX9%20XDCAM%206K%20%28Body%20only%29", "Sony PXW-FX9 XDCAM 6K (Body only)", 3, 120, 120)</f>
        <v/>
      </c>
      <c r="D222" s="2" t="inlineStr">
        <is>
          <t>https://tse1.mm.bing.net/th?q=Sony%20PXW-FX9%20XDCAM%206K%20%28Body%20only%29</t>
        </is>
      </c>
      <c r="E222" s="2" t="inlineStr">
        <is>
          <t>https://gripsfilmsrentals.com/product/sony-pxw-fx9-xdcam-6k-body-only/</t>
        </is>
      </c>
      <c r="F222" s="2" t="inlineStr">
        <is>
          <t>https://gripsfilmsrentals.com/shop/</t>
        </is>
      </c>
      <c r="G222" s="8" t="inlineStr">
        <is>
          <t>Cameras</t>
        </is>
      </c>
      <c r="H222" s="8" t="inlineStr">
        <is>
          <t>Sony</t>
        </is>
      </c>
      <c r="I222" s="8" t="inlineStr">
        <is>
          <t>Sony</t>
        </is>
      </c>
      <c r="J222" s="9" t="inlineStr">
        <is>
          <t>6K</t>
        </is>
      </c>
    </row>
    <row r="223" ht="125" customHeight="1">
      <c r="A223" s="2" t="inlineStr">
        <is>
          <t>Sony Alpha a7S III</t>
        </is>
      </c>
      <c r="B223" s="3" t="n">
        <v>6000</v>
      </c>
      <c r="C223" s="4">
        <f>IMAGE("https://tse1.mm.bing.net/th?q=Sony%20Alpha%20a7S%20III", "Sony Alpha a7S III", 3, 120, 120)</f>
        <v/>
      </c>
      <c r="D223" s="2" t="inlineStr">
        <is>
          <t>https://tse1.mm.bing.net/th?q=Sony%20Alpha%20a7S%20III</t>
        </is>
      </c>
      <c r="E223" s="2" t="inlineStr">
        <is>
          <t>https://gripsfilmsrentals.com/product/sony-alpha-a7s-iii/</t>
        </is>
      </c>
      <c r="F223" s="2" t="inlineStr">
        <is>
          <t>https://gripsfilmsrentals.com/shop/</t>
        </is>
      </c>
      <c r="G223" s="8" t="inlineStr">
        <is>
          <t>Cameras</t>
        </is>
      </c>
      <c r="H223" s="8" t="inlineStr">
        <is>
          <t>Sony</t>
        </is>
      </c>
      <c r="I223" s="8" t="inlineStr">
        <is>
          <t>Sony</t>
        </is>
      </c>
      <c r="J223" s="9" t="inlineStr"/>
    </row>
    <row r="224" ht="125" customHeight="1">
      <c r="A224" s="2" t="inlineStr">
        <is>
          <t>Sony Alpha 1</t>
        </is>
      </c>
      <c r="B224" s="3" t="n">
        <v>8000</v>
      </c>
      <c r="C224" s="4">
        <f>IMAGE("https://tse1.mm.bing.net/th?q=Sony%20Alpha%201", "Sony Alpha 1", 3, 120, 120)</f>
        <v/>
      </c>
      <c r="D224" s="2" t="inlineStr">
        <is>
          <t>https://tse1.mm.bing.net/th?q=Sony%20Alpha%201</t>
        </is>
      </c>
      <c r="E224" s="2" t="inlineStr">
        <is>
          <t>https://gripsfilmsrentals.com/product/sony-alpha-1/</t>
        </is>
      </c>
      <c r="F224" s="2" t="inlineStr">
        <is>
          <t>https://gripsfilmsrentals.com/shop/</t>
        </is>
      </c>
      <c r="G224" s="8" t="inlineStr">
        <is>
          <t>Photography / Video Accessories</t>
        </is>
      </c>
      <c r="H224" s="8" t="inlineStr">
        <is>
          <t>Accessory</t>
        </is>
      </c>
      <c r="I224" s="8" t="inlineStr">
        <is>
          <t>Sony</t>
        </is>
      </c>
      <c r="J224" s="9" t="inlineStr"/>
    </row>
    <row r="225" ht="125" customHeight="1">
      <c r="A225" s="2" t="inlineStr">
        <is>
          <t>Canon C70</t>
        </is>
      </c>
      <c r="B225" s="3" t="n">
        <v>7000</v>
      </c>
      <c r="C225" s="4">
        <f>IMAGE("https://tse1.mm.bing.net/th?q=Canon%20C70", "Canon C70", 3, 120, 120)</f>
        <v/>
      </c>
      <c r="D225" s="2" t="inlineStr">
        <is>
          <t>https://tse1.mm.bing.net/th?q=Canon%20C70</t>
        </is>
      </c>
      <c r="E225" s="2" t="inlineStr">
        <is>
          <t>https://gripsfilmsrentals.com/product/canon-c70/</t>
        </is>
      </c>
      <c r="F225" s="2" t="inlineStr">
        <is>
          <t>https://gripsfilmsrentals.com/shop/</t>
        </is>
      </c>
      <c r="G225" s="8" t="inlineStr">
        <is>
          <t>Cameras</t>
        </is>
      </c>
      <c r="H225" s="8" t="inlineStr">
        <is>
          <t>Canon</t>
        </is>
      </c>
      <c r="I225" s="8" t="inlineStr">
        <is>
          <t>Canon</t>
        </is>
      </c>
      <c r="J225" s="9" t="inlineStr"/>
    </row>
    <row r="226" ht="125" customHeight="1">
      <c r="A226" s="2" t="inlineStr">
        <is>
          <t>Canon C500 Mark II</t>
        </is>
      </c>
      <c r="B226" s="3" t="n">
        <v>10000</v>
      </c>
      <c r="C226" s="4">
        <f>IMAGE("https://tse1.mm.bing.net/th?q=Canon%20C500%20Mark%20II", "Canon C500 Mark II", 3, 120, 120)</f>
        <v/>
      </c>
      <c r="D226" s="2" t="inlineStr">
        <is>
          <t>https://tse1.mm.bing.net/th?q=Canon%20C500%20Mark%20II</t>
        </is>
      </c>
      <c r="E226" s="2" t="inlineStr">
        <is>
          <t>https://gripsfilmsrentals.com/product/canon-c500-mark-ii/</t>
        </is>
      </c>
      <c r="F226" s="2" t="inlineStr">
        <is>
          <t>https://gripsfilmsrentals.com/shop/</t>
        </is>
      </c>
      <c r="G226" s="8" t="inlineStr">
        <is>
          <t>Cameras</t>
        </is>
      </c>
      <c r="H226" s="8" t="inlineStr">
        <is>
          <t>Canon</t>
        </is>
      </c>
      <c r="I226" s="8" t="inlineStr">
        <is>
          <t>Canon</t>
        </is>
      </c>
      <c r="J226" s="9" t="inlineStr"/>
    </row>
    <row r="227" ht="125" customHeight="1">
      <c r="A227" s="2" t="inlineStr">
        <is>
          <t>Canon C300 Mark III</t>
        </is>
      </c>
      <c r="B227" s="3" t="n">
        <v>9000</v>
      </c>
      <c r="C227" s="4">
        <f>IMAGE("https://tse1.mm.bing.net/th?q=Canon%20C300%20Mark%20III", "Canon C300 Mark III", 3, 120, 120)</f>
        <v/>
      </c>
      <c r="D227" s="2" t="inlineStr">
        <is>
          <t>https://tse1.mm.bing.net/th?q=Canon%20C300%20Mark%20III</t>
        </is>
      </c>
      <c r="E227" s="2" t="inlineStr">
        <is>
          <t>https://gripsfilmsrentals.com/product/canon-c300-mark-iii/</t>
        </is>
      </c>
      <c r="F227" s="2" t="inlineStr">
        <is>
          <t>https://gripsfilmsrentals.com/shop/</t>
        </is>
      </c>
      <c r="G227" s="8" t="inlineStr">
        <is>
          <t>Cameras</t>
        </is>
      </c>
      <c r="H227" s="8" t="inlineStr">
        <is>
          <t>Canon</t>
        </is>
      </c>
      <c r="I227" s="8" t="inlineStr">
        <is>
          <t>Canon</t>
        </is>
      </c>
      <c r="J227" s="9" t="inlineStr"/>
    </row>
    <row r="228" ht="125" customHeight="1">
      <c r="A228" s="2" t="inlineStr">
        <is>
          <t>Blackmagic URSA Mini Pro 4.6K G2</t>
        </is>
      </c>
      <c r="B228" s="3" t="n">
        <v>7000</v>
      </c>
      <c r="C228" s="4">
        <f>IMAGE("https://tse1.mm.bing.net/th?q=Blackmagic%20URSA%20Mini%20Pro%204.6K%20G2", "Blackmagic URSA Mini Pro 4.6K G2", 3, 120, 120)</f>
        <v/>
      </c>
      <c r="D228" s="2" t="inlineStr">
        <is>
          <t>https://tse1.mm.bing.net/th?q=Blackmagic%20URSA%20Mini%20Pro%204.6K%20G2</t>
        </is>
      </c>
      <c r="E228" s="2" t="inlineStr">
        <is>
          <t>https://gripsfilmsrentals.com/product/blackmagic-ursa-mini-pro-4-6k-g2/</t>
        </is>
      </c>
      <c r="F228" s="2" t="inlineStr">
        <is>
          <t>https://gripsfilmsrentals.com/shop/</t>
        </is>
      </c>
      <c r="G228" s="8" t="inlineStr">
        <is>
          <t>Cameras</t>
        </is>
      </c>
      <c r="H228" s="8" t="inlineStr">
        <is>
          <t>Black Magic</t>
        </is>
      </c>
      <c r="I228" s="8" t="inlineStr">
        <is>
          <t>Blackmagic</t>
        </is>
      </c>
      <c r="J228" s="9" t="inlineStr">
        <is>
          <t>4.6K, 6K</t>
        </is>
      </c>
    </row>
    <row r="229" ht="125" customHeight="1">
      <c r="A229" s="2" t="inlineStr">
        <is>
          <t>Canon BP-A60</t>
        </is>
      </c>
      <c r="B229" s="3" t="n">
        <v>2000</v>
      </c>
      <c r="C229" s="4">
        <f>IMAGE("https://tse1.mm.bing.net/th?q=Canon%20BP-A60", "Canon BP-A60", 3, 120, 120)</f>
        <v/>
      </c>
      <c r="D229" s="2" t="inlineStr">
        <is>
          <t>https://tse1.mm.bing.net/th?q=Canon%20BP-A60</t>
        </is>
      </c>
      <c r="E229" s="2" t="inlineStr">
        <is>
          <t>https://gripsfilmsrentals.com/product/canon-bp-a60/</t>
        </is>
      </c>
      <c r="F229" s="2" t="inlineStr">
        <is>
          <t>https://gripsfilmsrentals.com/shop/</t>
        </is>
      </c>
      <c r="G229" s="8" t="inlineStr">
        <is>
          <t>Batteries plus Chargers</t>
        </is>
      </c>
      <c r="H229" s="8" t="inlineStr">
        <is>
          <t>Battery / Charger</t>
        </is>
      </c>
      <c r="I229" s="8" t="inlineStr">
        <is>
          <t>Canon</t>
        </is>
      </c>
      <c r="J229" s="9" t="inlineStr"/>
    </row>
    <row r="230" ht="125" customHeight="1">
      <c r="A230" s="2" t="inlineStr">
        <is>
          <t>Canon BP-975</t>
        </is>
      </c>
      <c r="B230" s="3" t="n">
        <v>1000</v>
      </c>
      <c r="C230" s="4">
        <f>IMAGE("https://tse1.mm.bing.net/th?q=Canon%20BP-975", "Canon BP-975", 3, 120, 120)</f>
        <v/>
      </c>
      <c r="D230" s="2" t="inlineStr">
        <is>
          <t>https://tse1.mm.bing.net/th?q=Canon%20BP-975</t>
        </is>
      </c>
      <c r="E230" s="2" t="inlineStr">
        <is>
          <t>https://gripsfilmsrentals.com/product/canon-bp-975/</t>
        </is>
      </c>
      <c r="F230" s="2" t="inlineStr">
        <is>
          <t>https://gripsfilmsrentals.com/shop/</t>
        </is>
      </c>
      <c r="G230" s="8" t="inlineStr">
        <is>
          <t>Batteries plus Chargers</t>
        </is>
      </c>
      <c r="H230" s="8" t="inlineStr">
        <is>
          <t>Battery / Charger</t>
        </is>
      </c>
      <c r="I230" s="8" t="inlineStr">
        <is>
          <t>Canon</t>
        </is>
      </c>
      <c r="J230" s="9" t="inlineStr"/>
    </row>
    <row r="231" ht="125" customHeight="1">
      <c r="A231" s="2" t="inlineStr">
        <is>
          <t>Canon LPE6-N</t>
        </is>
      </c>
      <c r="B231" s="3" t="n">
        <v>300</v>
      </c>
      <c r="C231" s="4">
        <f>IMAGE("https://tse1.mm.bing.net/th?q=Canon%20LPE6-N", "Canon LPE6-N", 3, 120, 120)</f>
        <v/>
      </c>
      <c r="D231" s="2" t="inlineStr">
        <is>
          <t>https://tse1.mm.bing.net/th?q=Canon%20LPE6-N</t>
        </is>
      </c>
      <c r="E231" s="2" t="inlineStr">
        <is>
          <t>https://gripsfilmsrentals.com/product/canon-lpe6-n/</t>
        </is>
      </c>
      <c r="F231" s="2" t="inlineStr">
        <is>
          <t>https://gripsfilmsrentals.com/shop/</t>
        </is>
      </c>
      <c r="G231" s="8" t="inlineStr">
        <is>
          <t>Batteries plus Chargers</t>
        </is>
      </c>
      <c r="H231" s="8" t="inlineStr">
        <is>
          <t>Battery / Charger</t>
        </is>
      </c>
      <c r="I231" s="8" t="inlineStr">
        <is>
          <t>Canon</t>
        </is>
      </c>
      <c r="J231" s="9" t="inlineStr"/>
    </row>
    <row r="232" ht="125" customHeight="1">
      <c r="A232" s="2" t="inlineStr">
        <is>
          <t>Metal Clips</t>
        </is>
      </c>
      <c r="B232" s="3" t="n">
        <v>200</v>
      </c>
      <c r="C232" s="4">
        <f>IMAGE("https://tse1.mm.bing.net/th?q=Metal%20Clips", "Metal Clips", 3, 120, 120)</f>
        <v/>
      </c>
      <c r="D232" s="2" t="inlineStr">
        <is>
          <t>https://tse1.mm.bing.net/th?q=Metal%20Clips</t>
        </is>
      </c>
      <c r="E232" s="2" t="inlineStr">
        <is>
          <t>https://gripsfilmsrentals.com/product/metal-clips/</t>
        </is>
      </c>
      <c r="F232" s="2" t="inlineStr">
        <is>
          <t>https://gripsfilmsrentals.com/shop/</t>
        </is>
      </c>
      <c r="G232" s="8" t="inlineStr">
        <is>
          <t>Photography / Video Accessories</t>
        </is>
      </c>
      <c r="H232" s="8" t="inlineStr">
        <is>
          <t>Accessory</t>
        </is>
      </c>
      <c r="I232" s="8" t="inlineStr"/>
      <c r="J232" s="9" t="inlineStr"/>
    </row>
    <row r="233" ht="125" customHeight="1">
      <c r="A233" s="2" t="inlineStr">
        <is>
          <t>Beauty Dish</t>
        </is>
      </c>
      <c r="B233" s="3" t="n">
        <v>700</v>
      </c>
      <c r="C233" s="4">
        <f>IMAGE("https://tse1.mm.bing.net/th?q=Beauty%20Dish", "Beauty Dish", 3, 120, 120)</f>
        <v/>
      </c>
      <c r="D233" s="2" t="inlineStr">
        <is>
          <t>https://tse1.mm.bing.net/th?q=Beauty%20Dish</t>
        </is>
      </c>
      <c r="E233" s="2" t="inlineStr">
        <is>
          <t>https://gripsfilmsrentals.com/product/beauty-dish/</t>
        </is>
      </c>
      <c r="F233" s="2" t="inlineStr">
        <is>
          <t>https://gripsfilmsrentals.com/shop/</t>
        </is>
      </c>
      <c r="G233" s="8" t="inlineStr">
        <is>
          <t>Modifiers</t>
        </is>
      </c>
      <c r="H233" s="8" t="inlineStr">
        <is>
          <t>Light Modifier</t>
        </is>
      </c>
      <c r="I233" s="8" t="inlineStr"/>
      <c r="J233" s="9" t="inlineStr"/>
    </row>
    <row r="234" ht="125" customHeight="1">
      <c r="A234" s="2" t="inlineStr">
        <is>
          <t>Ultra Studio Mini Recorder</t>
        </is>
      </c>
      <c r="B234" s="3" t="n">
        <v>2000</v>
      </c>
      <c r="C234" s="4">
        <f>IMAGE("https://tse1.mm.bing.net/th?q=Ultra%20Studio%20Mini%20Recorder", "Ultra Studio Mini Recorder", 3, 120, 120)</f>
        <v/>
      </c>
      <c r="D234" s="2" t="inlineStr">
        <is>
          <t>https://tse1.mm.bing.net/th?q=Ultra%20Studio%20Mini%20Recorder</t>
        </is>
      </c>
      <c r="E234" s="2" t="inlineStr">
        <is>
          <t>https://gripsfilmsrentals.com/product/ultra-studio-mini-recorder/</t>
        </is>
      </c>
      <c r="F234" s="2" t="inlineStr">
        <is>
          <t>https://gripsfilmsrentals.com/shop/</t>
        </is>
      </c>
      <c r="G234" s="8" t="inlineStr">
        <is>
          <t>Photography / Video Accessories</t>
        </is>
      </c>
      <c r="H234" s="8" t="inlineStr">
        <is>
          <t>Accessory</t>
        </is>
      </c>
      <c r="I234" s="8" t="inlineStr"/>
      <c r="J234" s="9" t="inlineStr"/>
    </row>
    <row r="235" ht="125" customHeight="1">
      <c r="A235" s="2" t="inlineStr">
        <is>
          <t>ATEM Mini Pro ISO</t>
        </is>
      </c>
      <c r="B235" s="3" t="n">
        <v>6500</v>
      </c>
      <c r="C235" s="4">
        <f>IMAGE("https://tse1.mm.bing.net/th?q=ATEM%20Mini%20Pro%20ISO", "ATEM Mini Pro ISO", 3, 120, 120)</f>
        <v/>
      </c>
      <c r="D235" s="2" t="inlineStr">
        <is>
          <t>https://tse1.mm.bing.net/th?q=ATEM%20Mini%20Pro%20ISO</t>
        </is>
      </c>
      <c r="E235" s="2" t="inlineStr">
        <is>
          <t>https://gripsfilmsrentals.com/product/atem-mini-pro-iso/</t>
        </is>
      </c>
      <c r="F235" s="2" t="inlineStr">
        <is>
          <t>https://gripsfilmsrentals.com/shop/</t>
        </is>
      </c>
      <c r="G235" s="8" t="inlineStr">
        <is>
          <t>Livestream/Switchers</t>
        </is>
      </c>
      <c r="H235" s="8" t="inlineStr">
        <is>
          <t>Switchers / Streaming</t>
        </is>
      </c>
      <c r="I235" s="8" t="inlineStr"/>
      <c r="J235" s="9" t="inlineStr"/>
    </row>
    <row r="236" ht="125" customHeight="1">
      <c r="A236" s="2" t="inlineStr">
        <is>
          <t>ATEM Mini Pro</t>
        </is>
      </c>
      <c r="B236" s="3" t="n">
        <v>4000</v>
      </c>
      <c r="C236" s="4">
        <f>IMAGE("https://tse1.mm.bing.net/th?q=ATEM%20Mini%20Pro", "ATEM Mini Pro", 3, 120, 120)</f>
        <v/>
      </c>
      <c r="D236" s="2" t="inlineStr">
        <is>
          <t>https://tse1.mm.bing.net/th?q=ATEM%20Mini%20Pro</t>
        </is>
      </c>
      <c r="E236" s="2" t="inlineStr">
        <is>
          <t>https://gripsfilmsrentals.com/product/atem-mini-pro/</t>
        </is>
      </c>
      <c r="F236" s="2" t="inlineStr">
        <is>
          <t>https://gripsfilmsrentals.com/shop/</t>
        </is>
      </c>
      <c r="G236" s="8" t="inlineStr">
        <is>
          <t>Livestream/Switchers</t>
        </is>
      </c>
      <c r="H236" s="8" t="inlineStr">
        <is>
          <t>Switchers / Streaming</t>
        </is>
      </c>
      <c r="I236" s="8" t="inlineStr"/>
      <c r="J236" s="9" t="inlineStr"/>
    </row>
    <row r="237" ht="125" customHeight="1">
      <c r="A237" s="2" t="inlineStr">
        <is>
          <t>ATEM Mini</t>
        </is>
      </c>
      <c r="B237" s="3" t="n">
        <v>5000</v>
      </c>
      <c r="C237" s="4">
        <f>IMAGE("https://tse1.mm.bing.net/th?q=ATEM%20Mini", "ATEM Mini", 3, 120, 120)</f>
        <v/>
      </c>
      <c r="D237" s="2" t="inlineStr">
        <is>
          <t>https://tse1.mm.bing.net/th?q=ATEM%20Mini</t>
        </is>
      </c>
      <c r="E237" s="2" t="inlineStr">
        <is>
          <t>https://gripsfilmsrentals.com/product/atem-mini/</t>
        </is>
      </c>
      <c r="F237" s="2" t="inlineStr">
        <is>
          <t>https://gripsfilmsrentals.com/shop/</t>
        </is>
      </c>
      <c r="G237" s="8" t="inlineStr">
        <is>
          <t>Livestream/Switchers</t>
        </is>
      </c>
      <c r="H237" s="8" t="inlineStr">
        <is>
          <t>Switchers / Streaming</t>
        </is>
      </c>
      <c r="I237" s="8" t="inlineStr"/>
      <c r="J237" s="9" t="inlineStr"/>
    </row>
    <row r="238" ht="125" customHeight="1">
      <c r="A238" s="2" t="inlineStr">
        <is>
          <t>Onboard Mic (Sony ECM-VGI)</t>
        </is>
      </c>
      <c r="B238" s="3" t="n">
        <v>1000</v>
      </c>
      <c r="C238" s="4">
        <f>IMAGE("https://tse1.mm.bing.net/th?q=Onboard%20Mic%20%28Sony%20ECM-VGI%29", "Onboard Mic (Sony ECM-VGI)", 3, 120, 120)</f>
        <v/>
      </c>
      <c r="D238" s="2" t="inlineStr">
        <is>
          <t>https://tse1.mm.bing.net/th?q=Onboard%20Mic%20%28Sony%20ECM-VGI%29</t>
        </is>
      </c>
      <c r="E238" s="2" t="inlineStr">
        <is>
          <t>https://gripsfilmsrentals.com/product/onboard-mic-sony-ecm-vgi/</t>
        </is>
      </c>
      <c r="F238" s="2" t="inlineStr">
        <is>
          <t>https://gripsfilmsrentals.com/shop/</t>
        </is>
      </c>
      <c r="G238" s="8" t="inlineStr">
        <is>
          <t>Sound</t>
        </is>
      </c>
      <c r="H238" s="8" t="inlineStr">
        <is>
          <t>Microphone</t>
        </is>
      </c>
      <c r="I238" s="8" t="inlineStr">
        <is>
          <t>Sony</t>
        </is>
      </c>
      <c r="J238" s="9" t="inlineStr">
        <is>
          <t>Sony E</t>
        </is>
      </c>
    </row>
    <row r="239" ht="125" customHeight="1">
      <c r="A239" s="2" t="inlineStr">
        <is>
          <t>Rodemic</t>
        </is>
      </c>
      <c r="B239" s="3" t="n">
        <v>500</v>
      </c>
      <c r="C239" s="4">
        <f>IMAGE("https://tse1.mm.bing.net/th?q=Rodemic", "Rodemic", 3, 120, 120)</f>
        <v/>
      </c>
      <c r="D239" s="2" t="inlineStr">
        <is>
          <t>https://tse1.mm.bing.net/th?q=Rodemic</t>
        </is>
      </c>
      <c r="E239" s="2" t="inlineStr">
        <is>
          <t>https://gripsfilmsrentals.com/product/rodemic/</t>
        </is>
      </c>
      <c r="F239" s="2" t="inlineStr">
        <is>
          <t>https://gripsfilmsrentals.com/shop/</t>
        </is>
      </c>
      <c r="G239" s="8" t="inlineStr">
        <is>
          <t>Sound</t>
        </is>
      </c>
      <c r="H239" s="8" t="inlineStr">
        <is>
          <t>Microphone</t>
        </is>
      </c>
      <c r="I239" s="8" t="inlineStr">
        <is>
          <t>RODE</t>
        </is>
      </c>
      <c r="J239" s="9" t="inlineStr"/>
    </row>
    <row r="240" ht="125" customHeight="1">
      <c r="A240" s="2" t="inlineStr">
        <is>
          <t>Blackmagic Assist 7” Recording Monitor (SDI/HDMI)</t>
        </is>
      </c>
      <c r="B240" s="3" t="n">
        <v>4000</v>
      </c>
      <c r="C240" s="4">
        <f>IMAGE("https://tse1.mm.bing.net/th?q=Blackmagic%20Assist%207%E2%80%9D%20Recording%20Monitor%20%28SDI/HDMI%29", "Blackmagic Assist 7” Recording Monitor (SDI/HDMI)", 3, 120, 120)</f>
        <v/>
      </c>
      <c r="D240" s="2" t="inlineStr">
        <is>
          <t>https://tse1.mm.bing.net/th?q=Blackmagic%20Assist%207%E2%80%9D%20Recording%20Monitor%20%28SDI/HDMI%29</t>
        </is>
      </c>
      <c r="E240" s="2" t="inlineStr">
        <is>
          <t>https://gripsfilmsrentals.com/product/blackmagic-assist-7-recording-monitor-sdi-hdmi/</t>
        </is>
      </c>
      <c r="F240" s="2" t="inlineStr">
        <is>
          <t>https://gripsfilmsrentals.com/shop/</t>
        </is>
      </c>
      <c r="G240" s="8" t="inlineStr">
        <is>
          <t>External Monitors</t>
        </is>
      </c>
      <c r="H240" s="8" t="inlineStr">
        <is>
          <t>External Monitor</t>
        </is>
      </c>
      <c r="I240" s="8" t="inlineStr">
        <is>
          <t>Blackmagic</t>
        </is>
      </c>
      <c r="J240" s="9" t="inlineStr">
        <is>
          <t>SDI, HDMI</t>
        </is>
      </c>
    </row>
    <row r="241" ht="125" customHeight="1">
      <c r="A241" s="2" t="inlineStr">
        <is>
          <t>Atomos Ninja Inferno 7” Recording Monitor (HDMI)</t>
        </is>
      </c>
      <c r="B241" s="3" t="n">
        <v>4000</v>
      </c>
      <c r="C241" s="4">
        <f>IMAGE("https://tse1.mm.bing.net/th?q=Atomos%20Ninja%20Inferno%207%E2%80%9D%20Recording%20Monitor%20%28HDMI%29", "Atomos Ninja Inferno 7” Recording Monitor (HDMI)", 3, 120, 120)</f>
        <v/>
      </c>
      <c r="D241" s="2" t="inlineStr">
        <is>
          <t>https://tse1.mm.bing.net/th?q=Atomos%20Ninja%20Inferno%207%E2%80%9D%20Recording%20Monitor%20%28HDMI%29</t>
        </is>
      </c>
      <c r="E241" s="2" t="inlineStr">
        <is>
          <t>https://gripsfilmsrentals.com/product/atomos-ninja-inferno-7-recording-monitor-hdmi/</t>
        </is>
      </c>
      <c r="F241" s="2" t="inlineStr">
        <is>
          <t>https://gripsfilmsrentals.com/shop/</t>
        </is>
      </c>
      <c r="G241" s="8" t="inlineStr">
        <is>
          <t>External Monitors</t>
        </is>
      </c>
      <c r="H241" s="8" t="inlineStr">
        <is>
          <t>External Monitor</t>
        </is>
      </c>
      <c r="I241" s="8" t="inlineStr">
        <is>
          <t>Atomos</t>
        </is>
      </c>
      <c r="J241" s="9" t="inlineStr">
        <is>
          <t>HDMI</t>
        </is>
      </c>
    </row>
    <row r="242" ht="125" customHeight="1">
      <c r="A242" s="2" t="inlineStr">
        <is>
          <t>Atomos Ninja V 5” Recording Monitor (HDMI)</t>
        </is>
      </c>
      <c r="B242" s="3" t="n">
        <v>3000</v>
      </c>
      <c r="C242" s="4">
        <f>IMAGE("https://tse1.mm.bing.net/th?q=Atomos%20Ninja%20V%205%E2%80%9D%20Recording%20Monitor%20%28HDMI%29", "Atomos Ninja V 5” Recording Monitor (HDMI)", 3, 120, 120)</f>
        <v/>
      </c>
      <c r="D242" s="2" t="inlineStr">
        <is>
          <t>https://tse1.mm.bing.net/th?q=Atomos%20Ninja%20V%205%E2%80%9D%20Recording%20Monitor%20%28HDMI%29</t>
        </is>
      </c>
      <c r="E242" s="2" t="inlineStr">
        <is>
          <t>https://gripsfilmsrentals.com/product/atomos-ninja-v-5-recording-monitor-hdmi/</t>
        </is>
      </c>
      <c r="F242" s="2" t="inlineStr">
        <is>
          <t>https://gripsfilmsrentals.com/shop/</t>
        </is>
      </c>
      <c r="G242" s="8" t="inlineStr">
        <is>
          <t>External Monitors</t>
        </is>
      </c>
      <c r="H242" s="8" t="inlineStr">
        <is>
          <t>External Monitor</t>
        </is>
      </c>
      <c r="I242" s="8" t="inlineStr">
        <is>
          <t>Atomos</t>
        </is>
      </c>
      <c r="J242" s="9" t="inlineStr">
        <is>
          <t>HDMI</t>
        </is>
      </c>
    </row>
    <row r="243" ht="125" customHeight="1">
      <c r="A243" s="2" t="inlineStr">
        <is>
          <t>DJI Ronin RS 2</t>
        </is>
      </c>
      <c r="B243" s="3" t="n">
        <v>3000</v>
      </c>
      <c r="C243" s="4">
        <f>IMAGE("https://tse1.mm.bing.net/th?q=DJI%20Ronin%20RS%202", "DJI Ronin RS 2", 3, 120, 120)</f>
        <v/>
      </c>
      <c r="D243" s="2" t="inlineStr">
        <is>
          <t>https://tse1.mm.bing.net/th?q=DJI%20Ronin%20RS%202</t>
        </is>
      </c>
      <c r="E243" s="2" t="inlineStr">
        <is>
          <t>https://gripsfilmsrentals.com/product/dji-ronin-rs-2/</t>
        </is>
      </c>
      <c r="F243" s="2" t="inlineStr">
        <is>
          <t>https://gripsfilmsrentals.com/shop/</t>
        </is>
      </c>
      <c r="G243" s="8" t="inlineStr">
        <is>
          <t>Stabilizers</t>
        </is>
      </c>
      <c r="H243" s="8" t="inlineStr">
        <is>
          <t>Gimbal / Stabilizer</t>
        </is>
      </c>
      <c r="I243" s="8" t="inlineStr">
        <is>
          <t>DJI</t>
        </is>
      </c>
      <c r="J243" s="9" t="inlineStr"/>
    </row>
    <row r="244" ht="125" customHeight="1">
      <c r="A244" s="2" t="inlineStr">
        <is>
          <t>Dolly System with Straight and Curved Tracks</t>
        </is>
      </c>
      <c r="B244" s="3" t="n">
        <v>7000</v>
      </c>
      <c r="C244" s="4">
        <f>IMAGE("https://tse1.mm.bing.net/th?q=Dolly%20System%20with%20Straight%20and%20Curved%20Tracks", "Dolly System with Straight and Curved Tracks", 3, 120, 120)</f>
        <v/>
      </c>
      <c r="D244" s="2" t="inlineStr">
        <is>
          <t>https://tse1.mm.bing.net/th?q=Dolly%20System%20with%20Straight%20and%20Curved%20Tracks</t>
        </is>
      </c>
      <c r="E244" s="2" t="inlineStr">
        <is>
          <t>https://gripsfilmsrentals.com/product/dolly-system-with-straight-and-curved-tracks/</t>
        </is>
      </c>
      <c r="F244" s="2" t="inlineStr">
        <is>
          <t>https://gripsfilmsrentals.com/shop/</t>
        </is>
      </c>
      <c r="G244" s="8" t="inlineStr">
        <is>
          <t>Motion</t>
        </is>
      </c>
      <c r="H244" s="8" t="inlineStr">
        <is>
          <t>Dolly / Slider / Jib</t>
        </is>
      </c>
      <c r="I244" s="8" t="inlineStr"/>
      <c r="J244" s="9" t="inlineStr"/>
    </row>
    <row r="245" ht="125" customHeight="1">
      <c r="A245" s="2" t="inlineStr">
        <is>
          <t>Jib Crane (Proaim)</t>
        </is>
      </c>
      <c r="B245" s="3" t="n">
        <v>10000</v>
      </c>
      <c r="C245" s="4">
        <f>IMAGE("https://tse1.mm.bing.net/th?q=Jib%20Crane%20%28Proaim%29", "Jib Crane (Proaim)", 3, 120, 120)</f>
        <v/>
      </c>
      <c r="D245" s="2" t="inlineStr">
        <is>
          <t>https://tse1.mm.bing.net/th?q=Jib%20Crane%20%28Proaim%29</t>
        </is>
      </c>
      <c r="E245" s="2" t="inlineStr">
        <is>
          <t>https://gripsfilmsrentals.com/product/jib-crane-proaim/</t>
        </is>
      </c>
      <c r="F245" s="2" t="inlineStr">
        <is>
          <t>https://gripsfilmsrentals.com/shop/</t>
        </is>
      </c>
      <c r="G245" s="8" t="inlineStr">
        <is>
          <t>Motion</t>
        </is>
      </c>
      <c r="H245" s="8" t="inlineStr">
        <is>
          <t>Dolly / Slider / Jib</t>
        </is>
      </c>
      <c r="I245" s="8" t="inlineStr">
        <is>
          <t>Proaim</t>
        </is>
      </c>
      <c r="J245" s="9" t="inlineStr"/>
    </row>
    <row r="246" ht="125" customHeight="1">
      <c r="A246" s="2" t="inlineStr">
        <is>
          <t>Zoom Recorder H8</t>
        </is>
      </c>
      <c r="B246" s="3" t="n">
        <v>4000</v>
      </c>
      <c r="C246" s="4">
        <f>IMAGE("https://tse1.mm.bing.net/th?q=Zoom%20Recorder%20H8", "Zoom Recorder H8", 3, 120, 120)</f>
        <v/>
      </c>
      <c r="D246" s="2" t="inlineStr">
        <is>
          <t>https://tse1.mm.bing.net/th?q=Zoom%20Recorder%20H8</t>
        </is>
      </c>
      <c r="E246" s="2" t="inlineStr">
        <is>
          <t>https://gripsfilmsrentals.com/product/zoom-recorder-h8/</t>
        </is>
      </c>
      <c r="F246" s="2" t="inlineStr">
        <is>
          <t>https://gripsfilmsrentals.com/shop/</t>
        </is>
      </c>
      <c r="G246" s="8" t="inlineStr">
        <is>
          <t>Sound</t>
        </is>
      </c>
      <c r="H246" s="8" t="inlineStr">
        <is>
          <t>Zoom Recorder</t>
        </is>
      </c>
      <c r="I246" s="8" t="inlineStr">
        <is>
          <t>Zoom</t>
        </is>
      </c>
      <c r="J246" s="9" t="inlineStr"/>
    </row>
    <row r="247" ht="125" customHeight="1">
      <c r="A247" s="2" t="inlineStr">
        <is>
          <t>Lapel Microphone (only)</t>
        </is>
      </c>
      <c r="B247" s="3" t="n">
        <v>1000</v>
      </c>
      <c r="C247" s="4">
        <f>IMAGE("https://tse1.mm.bing.net/th?q=Lapel%20Microphone%20%28only%29", "Lapel Microphone (only)", 3, 120, 120)</f>
        <v/>
      </c>
      <c r="D247" s="2" t="inlineStr">
        <is>
          <t>https://tse1.mm.bing.net/th?q=Lapel%20Microphone%20%28only%29</t>
        </is>
      </c>
      <c r="E247" s="2" t="inlineStr">
        <is>
          <t>https://gripsfilmsrentals.com/product/lapel-microphone-only/</t>
        </is>
      </c>
      <c r="F247" s="2" t="inlineStr">
        <is>
          <t>https://gripsfilmsrentals.com/shop/</t>
        </is>
      </c>
      <c r="G247" s="8" t="inlineStr">
        <is>
          <t>Sound</t>
        </is>
      </c>
      <c r="H247" s="8" t="inlineStr">
        <is>
          <t>Lapels</t>
        </is>
      </c>
      <c r="I247" s="8" t="inlineStr"/>
      <c r="J247" s="9" t="inlineStr"/>
    </row>
    <row r="248" ht="125" customHeight="1">
      <c r="A248" s="2" t="inlineStr">
        <is>
          <t>LED Par Can</t>
        </is>
      </c>
      <c r="B248" s="3" t="n">
        <v>1000</v>
      </c>
      <c r="C248" s="4">
        <f>IMAGE("https://tse1.mm.bing.net/th?q=LED%20Par%20Can", "LED Par Can", 3, 120, 120)</f>
        <v/>
      </c>
      <c r="D248" s="2" t="inlineStr">
        <is>
          <t>https://tse1.mm.bing.net/th?q=LED%20Par%20Can</t>
        </is>
      </c>
      <c r="E248" s="2" t="inlineStr">
        <is>
          <t>https://gripsfilmsrentals.com/product/led-par-can/</t>
        </is>
      </c>
      <c r="F248" s="2" t="inlineStr">
        <is>
          <t>https://gripsfilmsrentals.com/shop/</t>
        </is>
      </c>
      <c r="G248" s="8" t="inlineStr">
        <is>
          <t>Lights</t>
        </is>
      </c>
      <c r="H248" s="8" t="inlineStr">
        <is>
          <t>Continous lights</t>
        </is>
      </c>
      <c r="I248" s="8" t="inlineStr"/>
      <c r="J248" s="9" t="inlineStr"/>
    </row>
    <row r="249" ht="125" customHeight="1">
      <c r="A249" s="2" t="inlineStr">
        <is>
          <t>70-200mm Sony Lens (G-Master)</t>
        </is>
      </c>
      <c r="B249" s="3" t="n">
        <v>2000</v>
      </c>
      <c r="C249" s="4">
        <f>IMAGE("https://tse1.mm.bing.net/th?q=70-200mm%20Sony%20Lens%20%28G-Master%29", "70-200mm Sony Lens (G-Master)", 3, 120, 120)</f>
        <v/>
      </c>
      <c r="D249" s="2" t="inlineStr">
        <is>
          <t>https://tse1.mm.bing.net/th?q=70-200mm%20Sony%20Lens%20%28G-Master%29</t>
        </is>
      </c>
      <c r="E249" s="2" t="inlineStr">
        <is>
          <t>https://gripsfilmsrentals.com/product/70-200mm-sony-lens-g-master/</t>
        </is>
      </c>
      <c r="F249" s="2" t="inlineStr">
        <is>
          <t>https://gripsfilmsrentals.com/shop/</t>
        </is>
      </c>
      <c r="G249" s="8" t="inlineStr">
        <is>
          <t>Lenses</t>
        </is>
      </c>
      <c r="H249" s="8" t="inlineStr">
        <is>
          <t>Sony</t>
        </is>
      </c>
      <c r="I249" s="8" t="inlineStr">
        <is>
          <t>Sony</t>
        </is>
      </c>
      <c r="J249" s="9" t="inlineStr">
        <is>
          <t>70-200mm</t>
        </is>
      </c>
    </row>
    <row r="250" ht="125" customHeight="1">
      <c r="A250" s="2" t="inlineStr">
        <is>
          <t>Nikon 105mm Portrait</t>
        </is>
      </c>
      <c r="B250" s="3" t="n">
        <v>2000</v>
      </c>
      <c r="C250" s="4">
        <f>IMAGE("https://tse1.mm.bing.net/th?q=Nikon%20105mm%20Portrait", "Nikon 105mm Portrait", 3, 120, 120)</f>
        <v/>
      </c>
      <c r="D250" s="2" t="inlineStr">
        <is>
          <t>https://tse1.mm.bing.net/th?q=Nikon%20105mm%20Portrait</t>
        </is>
      </c>
      <c r="E250" s="2" t="inlineStr">
        <is>
          <t>https://gripsfilmsrentals.com/product/nikon-105mm-portrait/</t>
        </is>
      </c>
      <c r="F250" s="2" t="inlineStr">
        <is>
          <t>https://gripsfilmsrentals.com/shop/</t>
        </is>
      </c>
      <c r="G250" s="8" t="inlineStr">
        <is>
          <t>Lenses</t>
        </is>
      </c>
      <c r="H250" s="8" t="inlineStr">
        <is>
          <t>Nikon</t>
        </is>
      </c>
      <c r="I250" s="8" t="inlineStr">
        <is>
          <t>Nikon</t>
        </is>
      </c>
      <c r="J250" s="9" t="inlineStr">
        <is>
          <t>105mm</t>
        </is>
      </c>
    </row>
    <row r="251" ht="125" customHeight="1">
      <c r="A251" s="2" t="inlineStr">
        <is>
          <t>Nikon 14mm (1.8)</t>
        </is>
      </c>
      <c r="B251" s="3" t="n">
        <v>2000</v>
      </c>
      <c r="C251" s="4">
        <f>IMAGE("https://tse1.mm.bing.net/th?q=Nikon%2014mm%20%281.8%29", "Nikon 14mm (1.8)", 3, 120, 120)</f>
        <v/>
      </c>
      <c r="D251" s="2" t="inlineStr">
        <is>
          <t>https://tse1.mm.bing.net/th?q=Nikon%2014mm%20%281.8%29</t>
        </is>
      </c>
      <c r="E251" s="2" t="inlineStr">
        <is>
          <t>https://gripsfilmsrentals.com/product/nikon-14mm-1-8/</t>
        </is>
      </c>
      <c r="F251" s="2" t="inlineStr">
        <is>
          <t>https://gripsfilmsrentals.com/shop/</t>
        </is>
      </c>
      <c r="G251" s="8" t="inlineStr">
        <is>
          <t>Lenses</t>
        </is>
      </c>
      <c r="H251" s="8" t="inlineStr">
        <is>
          <t>Nikon</t>
        </is>
      </c>
      <c r="I251" s="8" t="inlineStr">
        <is>
          <t>Nikon</t>
        </is>
      </c>
      <c r="J251" s="9" t="inlineStr">
        <is>
          <t>14mm</t>
        </is>
      </c>
    </row>
    <row r="252" ht="125" customHeight="1">
      <c r="A252" s="2" t="inlineStr">
        <is>
          <t>Tokina for Canon 11-16mm (2.8)</t>
        </is>
      </c>
      <c r="B252" s="3" t="n">
        <v>1500</v>
      </c>
      <c r="C252" s="4">
        <f>IMAGE("https://tse1.mm.bing.net/th?q=Tokina%20for%20Canon%2011-16mm%20%282.8%29", "Tokina for Canon 11-16mm (2.8)", 3, 120, 120)</f>
        <v/>
      </c>
      <c r="D252" s="2" t="inlineStr">
        <is>
          <t>https://tse1.mm.bing.net/th?q=Tokina%20for%20Canon%2011-16mm%20%282.8%29</t>
        </is>
      </c>
      <c r="E252" s="2" t="inlineStr">
        <is>
          <t>https://gripsfilmsrentals.com/product/tokina-for-canon-11-16mm-2-8/</t>
        </is>
      </c>
      <c r="F252" s="2" t="inlineStr">
        <is>
          <t>https://gripsfilmsrentals.com/shop/</t>
        </is>
      </c>
      <c r="G252" s="8" t="inlineStr">
        <is>
          <t>Lenses</t>
        </is>
      </c>
      <c r="H252" s="8" t="inlineStr">
        <is>
          <t>Canon</t>
        </is>
      </c>
      <c r="I252" s="8" t="inlineStr">
        <is>
          <t>Canon</t>
        </is>
      </c>
      <c r="J252" s="9" t="inlineStr">
        <is>
          <t>11-16mm</t>
        </is>
      </c>
    </row>
    <row r="253" ht="125" customHeight="1">
      <c r="A253" s="2" t="inlineStr">
        <is>
          <t>Tokina for Canon 11-20mm (2.8)</t>
        </is>
      </c>
      <c r="B253" s="3" t="n">
        <v>1500</v>
      </c>
      <c r="C253" s="4">
        <f>IMAGE("https://tse1.mm.bing.net/th?q=Tokina%20for%20Canon%2011-20mm%20%282.8%29", "Tokina for Canon 11-20mm (2.8)", 3, 120, 120)</f>
        <v/>
      </c>
      <c r="D253" s="2" t="inlineStr">
        <is>
          <t>https://tse1.mm.bing.net/th?q=Tokina%20for%20Canon%2011-20mm%20%282.8%29</t>
        </is>
      </c>
      <c r="E253" s="2" t="inlineStr">
        <is>
          <t>https://gripsfilmsrentals.com/product/tokina-for-canon-11-20mm-2-8/</t>
        </is>
      </c>
      <c r="F253" s="2" t="inlineStr">
        <is>
          <t>https://gripsfilmsrentals.com/shop/</t>
        </is>
      </c>
      <c r="G253" s="8" t="inlineStr">
        <is>
          <t>Lenses</t>
        </is>
      </c>
      <c r="H253" s="8" t="inlineStr">
        <is>
          <t>Canon</t>
        </is>
      </c>
      <c r="I253" s="8" t="inlineStr">
        <is>
          <t>Canon</t>
        </is>
      </c>
      <c r="J253" s="9" t="inlineStr">
        <is>
          <t>11-20mm</t>
        </is>
      </c>
    </row>
    <row r="254" ht="125" customHeight="1">
      <c r="A254" s="2" t="inlineStr">
        <is>
          <t>Sigma for Nikon 50mm (1.4)</t>
        </is>
      </c>
      <c r="B254" s="3" t="n">
        <v>1500</v>
      </c>
      <c r="C254" s="4">
        <f>IMAGE("https://tse1.mm.bing.net/th?q=Sigma%20for%20Nikon%2050mm%20%281.4%29", "Sigma for Nikon 50mm (1.4)", 3, 120, 120)</f>
        <v/>
      </c>
      <c r="D254" s="2" t="inlineStr">
        <is>
          <t>https://tse1.mm.bing.net/th?q=Sigma%20for%20Nikon%2050mm%20%281.4%29</t>
        </is>
      </c>
      <c r="E254" s="2" t="inlineStr">
        <is>
          <t>https://gripsfilmsrentals.com/product/sigma-for-nikon-50mm-1-4/</t>
        </is>
      </c>
      <c r="F254" s="2" t="inlineStr">
        <is>
          <t>https://gripsfilmsrentals.com/shop/</t>
        </is>
      </c>
      <c r="G254" s="8" t="inlineStr">
        <is>
          <t>Lenses</t>
        </is>
      </c>
      <c r="H254" s="8" t="inlineStr">
        <is>
          <t>Nikon</t>
        </is>
      </c>
      <c r="I254" s="8" t="inlineStr">
        <is>
          <t>Nikon</t>
        </is>
      </c>
      <c r="J254" s="9" t="inlineStr">
        <is>
          <t>50mm</t>
        </is>
      </c>
    </row>
    <row r="255" ht="125" customHeight="1">
      <c r="A255" s="2" t="inlineStr">
        <is>
          <t>Sigma for Nikon 30mm (1.4)</t>
        </is>
      </c>
      <c r="B255" s="3" t="n">
        <v>1500</v>
      </c>
      <c r="C255" s="4">
        <f>IMAGE("https://tse1.mm.bing.net/th?q=Sigma%20for%20Nikon%2030mm%20%281.4%29", "Sigma for Nikon 30mm (1.4)", 3, 120, 120)</f>
        <v/>
      </c>
      <c r="D255" s="2" t="inlineStr">
        <is>
          <t>https://tse1.mm.bing.net/th?q=Sigma%20for%20Nikon%2030mm%20%281.4%29</t>
        </is>
      </c>
      <c r="E255" s="2" t="inlineStr">
        <is>
          <t>https://gripsfilmsrentals.com/product/sigma-for-nikon-30mm-1-4/</t>
        </is>
      </c>
      <c r="F255" s="2" t="inlineStr">
        <is>
          <t>https://gripsfilmsrentals.com/shop/</t>
        </is>
      </c>
      <c r="G255" s="8" t="inlineStr">
        <is>
          <t>Lenses</t>
        </is>
      </c>
      <c r="H255" s="8" t="inlineStr">
        <is>
          <t>Nikon</t>
        </is>
      </c>
      <c r="I255" s="8" t="inlineStr">
        <is>
          <t>Nikon</t>
        </is>
      </c>
      <c r="J255" s="9" t="inlineStr">
        <is>
          <t>30mm</t>
        </is>
      </c>
    </row>
    <row r="256" ht="125" customHeight="1">
      <c r="A256" s="2" t="inlineStr">
        <is>
          <t>Sigma for Canon 150-600mm</t>
        </is>
      </c>
      <c r="B256" s="3" t="n">
        <v>3500</v>
      </c>
      <c r="C256" s="4">
        <f>IMAGE("https://tse1.mm.bing.net/th?q=Sigma%20for%20Canon%20150-600mm", "Sigma for Canon 150-600mm", 3, 120, 120)</f>
        <v/>
      </c>
      <c r="D256" s="2" t="inlineStr">
        <is>
          <t>https://tse1.mm.bing.net/th?q=Sigma%20for%20Canon%20150-600mm</t>
        </is>
      </c>
      <c r="E256" s="2" t="inlineStr">
        <is>
          <t>https://gripsfilmsrentals.com/product/sigma-for-canon-150-600mm/</t>
        </is>
      </c>
      <c r="F256" s="2" t="inlineStr">
        <is>
          <t>https://gripsfilmsrentals.com/shop/</t>
        </is>
      </c>
      <c r="G256" s="8" t="inlineStr">
        <is>
          <t>Photography / Video Accessories</t>
        </is>
      </c>
      <c r="H256" s="8" t="inlineStr">
        <is>
          <t>Accessory</t>
        </is>
      </c>
      <c r="I256" s="8" t="inlineStr">
        <is>
          <t>Canon</t>
        </is>
      </c>
      <c r="J256" s="9" t="inlineStr">
        <is>
          <t>150-600mm</t>
        </is>
      </c>
    </row>
    <row r="257" ht="125" customHeight="1">
      <c r="A257" s="2" t="inlineStr">
        <is>
          <t>Canon 35mm (1.4)</t>
        </is>
      </c>
      <c r="B257" s="3" t="n">
        <v>1500</v>
      </c>
      <c r="C257" s="4">
        <f>IMAGE("https://tse1.mm.bing.net/th?q=Canon%2035mm%20%281.4%29", "Canon 35mm (1.4)", 3, 120, 120)</f>
        <v/>
      </c>
      <c r="D257" s="2" t="inlineStr">
        <is>
          <t>https://tse1.mm.bing.net/th?q=Canon%2035mm%20%281.4%29</t>
        </is>
      </c>
      <c r="E257" s="2" t="inlineStr">
        <is>
          <t>https://gripsfilmsrentals.com/product/canon-35mm-1-4/</t>
        </is>
      </c>
      <c r="F257" s="2" t="inlineStr">
        <is>
          <t>https://gripsfilmsrentals.com/shop/</t>
        </is>
      </c>
      <c r="G257" s="8" t="inlineStr">
        <is>
          <t>Lenses</t>
        </is>
      </c>
      <c r="H257" s="8" t="inlineStr">
        <is>
          <t>Canon</t>
        </is>
      </c>
      <c r="I257" s="8" t="inlineStr">
        <is>
          <t>Canon</t>
        </is>
      </c>
      <c r="J257" s="9" t="inlineStr">
        <is>
          <t>35mm</t>
        </is>
      </c>
    </row>
    <row r="258" ht="125" customHeight="1">
      <c r="A258" s="2" t="inlineStr">
        <is>
          <t>Canon 24mm (1.4)</t>
        </is>
      </c>
      <c r="B258" s="3" t="n">
        <v>1500</v>
      </c>
      <c r="C258" s="4">
        <f>IMAGE("https://tse1.mm.bing.net/th?q=Canon%2024mm%20%281.4%29", "Canon 24mm (1.4)", 3, 120, 120)</f>
        <v/>
      </c>
      <c r="D258" s="2" t="inlineStr">
        <is>
          <t>https://tse1.mm.bing.net/th?q=Canon%2024mm%20%281.4%29</t>
        </is>
      </c>
      <c r="E258" s="2" t="inlineStr">
        <is>
          <t>https://gripsfilmsrentals.com/product/canon-24mm-1-4/</t>
        </is>
      </c>
      <c r="F258" s="2" t="inlineStr">
        <is>
          <t>https://gripsfilmsrentals.com/shop/</t>
        </is>
      </c>
      <c r="G258" s="8" t="inlineStr">
        <is>
          <t>Lenses</t>
        </is>
      </c>
      <c r="H258" s="8" t="inlineStr">
        <is>
          <t>Canon</t>
        </is>
      </c>
      <c r="I258" s="8" t="inlineStr">
        <is>
          <t>Canon</t>
        </is>
      </c>
      <c r="J258" s="9" t="inlineStr">
        <is>
          <t>24mm</t>
        </is>
      </c>
    </row>
    <row r="259" ht="125" customHeight="1">
      <c r="A259" s="2" t="inlineStr">
        <is>
          <t>Post Production Services Retouch</t>
        </is>
      </c>
      <c r="B259" s="3" t="n">
        <v>0</v>
      </c>
      <c r="C259" s="4">
        <f>IMAGE("https://tse1.mm.bing.net/th?q=Post%20Production%20Services%20Retouch", "Post Production Services Retouch", 3, 120, 120)</f>
        <v/>
      </c>
      <c r="D259" s="2" t="inlineStr">
        <is>
          <t>https://tse1.mm.bing.net/th?q=Post%20Production%20Services%20Retouch</t>
        </is>
      </c>
      <c r="E259" s="2" t="inlineStr">
        <is>
          <t>https://gripsfilmsrentals.com/product/post-production-services-retouch/</t>
        </is>
      </c>
      <c r="F259" s="2" t="inlineStr">
        <is>
          <t>https://gripsfilmsrentals.com/shop/</t>
        </is>
      </c>
      <c r="G259" s="8" t="inlineStr">
        <is>
          <t>Post Production Services</t>
        </is>
      </c>
      <c r="H259" s="8" t="inlineStr">
        <is>
          <t>Retouch</t>
        </is>
      </c>
      <c r="I259" s="8" t="inlineStr"/>
      <c r="J259" s="9" t="inlineStr"/>
    </row>
    <row r="260" ht="125" customHeight="1">
      <c r="A260" s="2" t="inlineStr">
        <is>
          <t>Post Production Services Rendering/Encoding</t>
        </is>
      </c>
      <c r="B260" s="3" t="n">
        <v>0</v>
      </c>
      <c r="C260" s="4">
        <f>IMAGE("https://tse1.mm.bing.net/th?q=Post%20Production%20Services%20Rendering/Encoding", "Post Production Services Rendering/Encoding", 3, 120, 120)</f>
        <v/>
      </c>
      <c r="D260" s="2" t="inlineStr">
        <is>
          <t>https://tse1.mm.bing.net/th?q=Post%20Production%20Services%20Rendering/Encoding</t>
        </is>
      </c>
      <c r="E260" s="2" t="inlineStr">
        <is>
          <t>https://gripsfilmsrentals.com/product/post-production-services-rendering-encoding/</t>
        </is>
      </c>
      <c r="F260" s="2" t="inlineStr">
        <is>
          <t>https://gripsfilmsrentals.com/shop/</t>
        </is>
      </c>
      <c r="G260" s="8" t="inlineStr">
        <is>
          <t>Post Production Services</t>
        </is>
      </c>
      <c r="H260" s="8" t="inlineStr">
        <is>
          <t>Rendering/Encoding</t>
        </is>
      </c>
      <c r="I260" s="8" t="inlineStr"/>
      <c r="J260" s="9" t="inlineStr"/>
    </row>
    <row r="261" ht="125" customHeight="1">
      <c r="A261" s="2" t="inlineStr">
        <is>
          <t>Post Production Services SFX/VFX</t>
        </is>
      </c>
      <c r="B261" s="3" t="n">
        <v>0</v>
      </c>
      <c r="C261" s="4">
        <f>IMAGE("https://tse1.mm.bing.net/th?q=Post%20Production%20Services%20SFX/VFX", "Post Production Services SFX/VFX", 3, 120, 120)</f>
        <v/>
      </c>
      <c r="D261" s="2" t="inlineStr">
        <is>
          <t>https://tse1.mm.bing.net/th?q=Post%20Production%20Services%20SFX/VFX</t>
        </is>
      </c>
      <c r="E261" s="2" t="inlineStr">
        <is>
          <t>https://gripsfilmsrentals.com/product/post-production-services-sfx-vfx/</t>
        </is>
      </c>
      <c r="F261" s="2" t="inlineStr">
        <is>
          <t>https://gripsfilmsrentals.com/shop/</t>
        </is>
      </c>
      <c r="G261" s="8" t="inlineStr">
        <is>
          <t>Post Production Services</t>
        </is>
      </c>
      <c r="H261" s="8" t="inlineStr">
        <is>
          <t>Sfx/Vfx</t>
        </is>
      </c>
      <c r="I261" s="8" t="inlineStr"/>
      <c r="J261" s="9" t="inlineStr"/>
    </row>
    <row r="262" ht="125" customHeight="1">
      <c r="A262" s="2" t="inlineStr">
        <is>
          <t>Post Production Services Motion Graphics</t>
        </is>
      </c>
      <c r="B262" s="3" t="n">
        <v>0</v>
      </c>
      <c r="C262" s="4">
        <f>IMAGE("https://tse1.mm.bing.net/th?q=Post%20Production%20Services%20Motion%20Graphics", "Post Production Services Motion Graphics", 3, 120, 120)</f>
        <v/>
      </c>
      <c r="D262" s="2" t="inlineStr">
        <is>
          <t>https://tse1.mm.bing.net/th?q=Post%20Production%20Services%20Motion%20Graphics</t>
        </is>
      </c>
      <c r="E262" s="2" t="inlineStr">
        <is>
          <t>https://gripsfilmsrentals.com/product/post-production-services-motion-graphics/</t>
        </is>
      </c>
      <c r="F262" s="2" t="inlineStr">
        <is>
          <t>https://gripsfilmsrentals.com/shop/</t>
        </is>
      </c>
      <c r="G262" s="8" t="inlineStr">
        <is>
          <t>Post Production Services</t>
        </is>
      </c>
      <c r="H262" s="8" t="inlineStr">
        <is>
          <t>Motion Graphics</t>
        </is>
      </c>
      <c r="I262" s="8" t="inlineStr"/>
      <c r="J262" s="9" t="inlineStr"/>
    </row>
    <row r="263" ht="125" customHeight="1">
      <c r="A263" s="2" t="inlineStr">
        <is>
          <t>Post Production Services Color Grading</t>
        </is>
      </c>
      <c r="B263" s="3" t="n">
        <v>0</v>
      </c>
      <c r="C263" s="4">
        <f>IMAGE("https://tse1.mm.bing.net/th?q=Post%20Production%20Services%20Color%20Grading", "Post Production Services Color Grading", 3, 120, 120)</f>
        <v/>
      </c>
      <c r="D263" s="2" t="inlineStr">
        <is>
          <t>https://tse1.mm.bing.net/th?q=Post%20Production%20Services%20Color%20Grading</t>
        </is>
      </c>
      <c r="E263" s="2" t="inlineStr">
        <is>
          <t>https://gripsfilmsrentals.com/product/post-production-services-color-grading/</t>
        </is>
      </c>
      <c r="F263" s="2" t="inlineStr">
        <is>
          <t>https://gripsfilmsrentals.com/shop/</t>
        </is>
      </c>
      <c r="G263" s="8" t="inlineStr">
        <is>
          <t>Post Production Services</t>
        </is>
      </c>
      <c r="H263" s="8" t="inlineStr">
        <is>
          <t>Color Grading</t>
        </is>
      </c>
      <c r="I263" s="8" t="inlineStr"/>
      <c r="J263" s="9" t="inlineStr"/>
    </row>
    <row r="264" ht="125" customHeight="1">
      <c r="A264" s="2" t="inlineStr">
        <is>
          <t>Post Production Services Video Editing</t>
        </is>
      </c>
      <c r="B264" s="3" t="n">
        <v>0</v>
      </c>
      <c r="C264" s="4">
        <f>IMAGE("https://tse1.mm.bing.net/th?q=Post%20Production%20Services%20Video%20Editing", "Post Production Services Video Editing", 3, 120, 120)</f>
        <v/>
      </c>
      <c r="D264" s="2" t="inlineStr">
        <is>
          <t>https://tse1.mm.bing.net/th?q=Post%20Production%20Services%20Video%20Editing</t>
        </is>
      </c>
      <c r="E264" s="2" t="inlineStr">
        <is>
          <t>https://gripsfilmsrentals.com/product/post-production-services-video-editing/</t>
        </is>
      </c>
      <c r="F264" s="2" t="inlineStr">
        <is>
          <t>https://gripsfilmsrentals.com/shop/</t>
        </is>
      </c>
      <c r="G264" s="8" t="inlineStr">
        <is>
          <t>Post Production Services</t>
        </is>
      </c>
      <c r="H264" s="8" t="inlineStr">
        <is>
          <t>Video Editing</t>
        </is>
      </c>
      <c r="I264" s="8" t="inlineStr"/>
      <c r="J264" s="9" t="inlineStr"/>
    </row>
    <row r="265" ht="125" customHeight="1">
      <c r="A265" s="2" t="inlineStr">
        <is>
          <t>Post Production Services Photo Editing</t>
        </is>
      </c>
      <c r="B265" s="3" t="n">
        <v>0</v>
      </c>
      <c r="C265" s="4">
        <f>IMAGE("https://tse1.mm.bing.net/th?q=Post%20Production%20Services%20Photo%20Editing", "Post Production Services Photo Editing", 3, 120, 120)</f>
        <v/>
      </c>
      <c r="D265" s="2" t="inlineStr">
        <is>
          <t>https://tse1.mm.bing.net/th?q=Post%20Production%20Services%20Photo%20Editing</t>
        </is>
      </c>
      <c r="E265" s="2" t="inlineStr">
        <is>
          <t>https://gripsfilmsrentals.com/product/post-production-services-photo-editing/</t>
        </is>
      </c>
      <c r="F265" s="2" t="inlineStr">
        <is>
          <t>https://gripsfilmsrentals.com/shop/</t>
        </is>
      </c>
      <c r="G265" s="8" t="inlineStr">
        <is>
          <t>Post Production Services</t>
        </is>
      </c>
      <c r="H265" s="8" t="inlineStr">
        <is>
          <t>Photo Editing</t>
        </is>
      </c>
      <c r="I265" s="8" t="inlineStr"/>
      <c r="J265" s="9" t="inlineStr"/>
    </row>
    <row r="266" ht="125" customHeight="1">
      <c r="A266" s="2" t="inlineStr">
        <is>
          <t>Card Readers</t>
        </is>
      </c>
      <c r="B266" s="3" t="n">
        <v>200</v>
      </c>
      <c r="C266" s="4">
        <f>IMAGE("https://tse1.mm.bing.net/th?q=Card%20Readers", "Card Readers", 3, 120, 120)</f>
        <v/>
      </c>
      <c r="D266" s="2" t="inlineStr">
        <is>
          <t>https://tse1.mm.bing.net/th?q=Card%20Readers</t>
        </is>
      </c>
      <c r="E266" s="2" t="inlineStr">
        <is>
          <t>https://gripsfilmsrentals.com/product/card-readers/</t>
        </is>
      </c>
      <c r="F266" s="2" t="inlineStr">
        <is>
          <t>https://gripsfilmsrentals.com/shop/</t>
        </is>
      </c>
      <c r="G266" s="8" t="inlineStr">
        <is>
          <t>Storage</t>
        </is>
      </c>
      <c r="H266" s="8" t="inlineStr">
        <is>
          <t>Memory / Card Reader</t>
        </is>
      </c>
      <c r="I266" s="8" t="inlineStr"/>
      <c r="J266" s="9" t="inlineStr"/>
    </row>
    <row r="267" ht="125" customHeight="1">
      <c r="A267" s="2" t="inlineStr">
        <is>
          <t>16GB SD Card</t>
        </is>
      </c>
      <c r="B267" s="3" t="n">
        <v>100</v>
      </c>
      <c r="C267" s="4">
        <f>IMAGE("https://tse1.mm.bing.net/th?q=16GB%20SD%20Card", "16GB SD Card", 3, 120, 120)</f>
        <v/>
      </c>
      <c r="D267" s="2" t="inlineStr">
        <is>
          <t>https://tse1.mm.bing.net/th?q=16GB%20SD%20Card</t>
        </is>
      </c>
      <c r="E267" s="2" t="inlineStr">
        <is>
          <t>https://gripsfilmsrentals.com/product/16gb-sd-card/</t>
        </is>
      </c>
      <c r="F267" s="2" t="inlineStr">
        <is>
          <t>https://gripsfilmsrentals.com/shop/</t>
        </is>
      </c>
      <c r="G267" s="8" t="inlineStr">
        <is>
          <t>Storage</t>
        </is>
      </c>
      <c r="H267" s="8" t="inlineStr">
        <is>
          <t>Memory / Card Reader</t>
        </is>
      </c>
      <c r="I267" s="8" t="inlineStr"/>
      <c r="J267" s="9" t="inlineStr">
        <is>
          <t>16GB</t>
        </is>
      </c>
    </row>
    <row r="268" ht="125" customHeight="1">
      <c r="A268" s="2" t="inlineStr">
        <is>
          <t>128GB CF Card</t>
        </is>
      </c>
      <c r="B268" s="3" t="n">
        <v>400</v>
      </c>
      <c r="C268" s="4">
        <f>IMAGE("https://tse1.mm.bing.net/th?q=128GB%20CF%20Card", "128GB CF Card", 3, 120, 120)</f>
        <v/>
      </c>
      <c r="D268" s="2" t="inlineStr">
        <is>
          <t>https://tse1.mm.bing.net/th?q=128GB%20CF%20Card</t>
        </is>
      </c>
      <c r="E268" s="2" t="inlineStr">
        <is>
          <t>https://gripsfilmsrentals.com/product/128gb-cf-card/</t>
        </is>
      </c>
      <c r="F268" s="2" t="inlineStr">
        <is>
          <t>https://gripsfilmsrentals.com/shop/</t>
        </is>
      </c>
      <c r="G268" s="8" t="inlineStr">
        <is>
          <t>Storage</t>
        </is>
      </c>
      <c r="H268" s="8" t="inlineStr">
        <is>
          <t>Memory / Card Reader</t>
        </is>
      </c>
      <c r="I268" s="8" t="inlineStr"/>
      <c r="J268" s="9" t="inlineStr">
        <is>
          <t>128GB</t>
        </is>
      </c>
    </row>
    <row r="269" ht="125" customHeight="1">
      <c r="A269" s="2" t="inlineStr">
        <is>
          <t>128GB SD Card</t>
        </is>
      </c>
      <c r="B269" s="3" t="n">
        <v>300</v>
      </c>
      <c r="C269" s="4">
        <f>IMAGE("https://tse1.mm.bing.net/th?q=128GB%20SD%20Card", "128GB SD Card", 3, 120, 120)</f>
        <v/>
      </c>
      <c r="D269" s="2" t="inlineStr">
        <is>
          <t>https://tse1.mm.bing.net/th?q=128GB%20SD%20Card</t>
        </is>
      </c>
      <c r="E269" s="2" t="inlineStr">
        <is>
          <t>https://gripsfilmsrentals.com/product/128gb-sd-card/</t>
        </is>
      </c>
      <c r="F269" s="2" t="inlineStr">
        <is>
          <t>https://gripsfilmsrentals.com/shop/</t>
        </is>
      </c>
      <c r="G269" s="8" t="inlineStr">
        <is>
          <t>Storage</t>
        </is>
      </c>
      <c r="H269" s="8" t="inlineStr">
        <is>
          <t>Memory / Card Reader</t>
        </is>
      </c>
      <c r="I269" s="8" t="inlineStr"/>
      <c r="J269" s="9" t="inlineStr">
        <is>
          <t>128GB</t>
        </is>
      </c>
    </row>
    <row r="270" ht="125" customHeight="1">
      <c r="A270" s="2" t="inlineStr">
        <is>
          <t>128GB C-fast</t>
        </is>
      </c>
      <c r="B270" s="3" t="n">
        <v>500</v>
      </c>
      <c r="C270" s="4">
        <f>IMAGE("https://tse1.mm.bing.net/th?q=128GB%20C-fast", "128GB C-fast", 3, 120, 120)</f>
        <v/>
      </c>
      <c r="D270" s="2" t="inlineStr">
        <is>
          <t>https://tse1.mm.bing.net/th?q=128GB%20C-fast</t>
        </is>
      </c>
      <c r="E270" s="2" t="inlineStr">
        <is>
          <t>https://gripsfilmsrentals.com/product/128gb-c-fast/</t>
        </is>
      </c>
      <c r="F270" s="2" t="inlineStr">
        <is>
          <t>https://gripsfilmsrentals.com/shop/</t>
        </is>
      </c>
      <c r="G270" s="8" t="inlineStr">
        <is>
          <t>Storage</t>
        </is>
      </c>
      <c r="H270" s="8" t="inlineStr">
        <is>
          <t>Memory / Card Reader</t>
        </is>
      </c>
      <c r="I270" s="8" t="inlineStr"/>
      <c r="J270" s="9" t="inlineStr">
        <is>
          <t>128GB</t>
        </is>
      </c>
    </row>
    <row r="271" ht="125" customHeight="1">
      <c r="A271" s="2" t="inlineStr">
        <is>
          <t>256GB XQD Card</t>
        </is>
      </c>
      <c r="B271" s="3" t="n">
        <v>1000</v>
      </c>
      <c r="C271" s="4">
        <f>IMAGE("https://tse1.mm.bing.net/th?q=256GB%20XQD%20Card", "256GB XQD Card", 3, 120, 120)</f>
        <v/>
      </c>
      <c r="D271" s="2" t="inlineStr">
        <is>
          <t>https://tse1.mm.bing.net/th?q=256GB%20XQD%20Card</t>
        </is>
      </c>
      <c r="E271" s="2" t="inlineStr">
        <is>
          <t>https://gripsfilmsrentals.com/product/256gb-xqd-card/</t>
        </is>
      </c>
      <c r="F271" s="2" t="inlineStr">
        <is>
          <t>https://gripsfilmsrentals.com/shop/</t>
        </is>
      </c>
      <c r="G271" s="8" t="inlineStr">
        <is>
          <t>Storage</t>
        </is>
      </c>
      <c r="H271" s="8" t="inlineStr">
        <is>
          <t>Memory / Card Reader</t>
        </is>
      </c>
      <c r="I271" s="8" t="inlineStr"/>
      <c r="J271" s="9" t="inlineStr">
        <is>
          <t>256GB</t>
        </is>
      </c>
    </row>
    <row r="272" ht="125" customHeight="1">
      <c r="A272" s="2" t="inlineStr">
        <is>
          <t>256GB SD Card</t>
        </is>
      </c>
      <c r="B272" s="3" t="n">
        <v>500</v>
      </c>
      <c r="C272" s="4">
        <f>IMAGE("https://tse1.mm.bing.net/th?q=256GB%20SD%20Card", "256GB SD Card", 3, 120, 120)</f>
        <v/>
      </c>
      <c r="D272" s="2" t="inlineStr">
        <is>
          <t>https://tse1.mm.bing.net/th?q=256GB%20SD%20Card</t>
        </is>
      </c>
      <c r="E272" s="2" t="inlineStr">
        <is>
          <t>https://gripsfilmsrentals.com/product/256gb-sd-card/</t>
        </is>
      </c>
      <c r="F272" s="2" t="inlineStr">
        <is>
          <t>https://gripsfilmsrentals.com/shop/</t>
        </is>
      </c>
      <c r="G272" s="8" t="inlineStr">
        <is>
          <t>Storage</t>
        </is>
      </c>
      <c r="H272" s="8" t="inlineStr">
        <is>
          <t>Memory / Card Reader</t>
        </is>
      </c>
      <c r="I272" s="8" t="inlineStr"/>
      <c r="J272" s="9" t="inlineStr">
        <is>
          <t>256GB</t>
        </is>
      </c>
    </row>
    <row r="273" ht="125" customHeight="1">
      <c r="A273" s="2" t="inlineStr">
        <is>
          <t>256GB C-fast</t>
        </is>
      </c>
      <c r="B273" s="3" t="n">
        <v>1000</v>
      </c>
      <c r="C273" s="4">
        <f>IMAGE("https://tse1.mm.bing.net/th?q=256GB%20C-fast", "256GB C-fast", 3, 120, 120)</f>
        <v/>
      </c>
      <c r="D273" s="2" t="inlineStr">
        <is>
          <t>https://tse1.mm.bing.net/th?q=256GB%20C-fast</t>
        </is>
      </c>
      <c r="E273" s="2" t="inlineStr">
        <is>
          <t>https://gripsfilmsrentals.com/product/256gb-c-fast/</t>
        </is>
      </c>
      <c r="F273" s="2" t="inlineStr">
        <is>
          <t>https://gripsfilmsrentals.com/shop/</t>
        </is>
      </c>
      <c r="G273" s="8" t="inlineStr">
        <is>
          <t>Storage</t>
        </is>
      </c>
      <c r="H273" s="8" t="inlineStr">
        <is>
          <t>Memory / Card Reader</t>
        </is>
      </c>
      <c r="I273" s="8" t="inlineStr"/>
      <c r="J273" s="9" t="inlineStr">
        <is>
          <t>256GB</t>
        </is>
      </c>
    </row>
    <row r="274" ht="125" customHeight="1">
      <c r="A274" s="2" t="inlineStr">
        <is>
          <t>512GB C-fast</t>
        </is>
      </c>
      <c r="B274" s="3" t="n">
        <v>1500</v>
      </c>
      <c r="C274" s="4">
        <f>IMAGE("https://tse1.mm.bing.net/th?q=512GB%20C-fast", "512GB C-fast", 3, 120, 120)</f>
        <v/>
      </c>
      <c r="D274" s="2" t="inlineStr">
        <is>
          <t>https://tse1.mm.bing.net/th?q=512GB%20C-fast</t>
        </is>
      </c>
      <c r="E274" s="2" t="inlineStr">
        <is>
          <t>https://gripsfilmsrentals.com/product/512gb-c-fast/</t>
        </is>
      </c>
      <c r="F274" s="2" t="inlineStr">
        <is>
          <t>https://gripsfilmsrentals.com/shop/</t>
        </is>
      </c>
      <c r="G274" s="8" t="inlineStr">
        <is>
          <t>Storage</t>
        </is>
      </c>
      <c r="H274" s="8" t="inlineStr">
        <is>
          <t>Memory / Card Reader</t>
        </is>
      </c>
      <c r="I274" s="8" t="inlineStr"/>
      <c r="J274" s="9" t="inlineStr">
        <is>
          <t>512GB</t>
        </is>
      </c>
    </row>
    <row r="275" ht="125" customHeight="1">
      <c r="A275" s="2" t="inlineStr">
        <is>
          <t>1TB Angelbird</t>
        </is>
      </c>
      <c r="B275" s="3" t="n">
        <v>2000</v>
      </c>
      <c r="C275" s="4">
        <f>IMAGE("https://tse1.mm.bing.net/th?q=1TB%20Angelbird", "1TB Angelbird", 3, 120, 120)</f>
        <v/>
      </c>
      <c r="D275" s="2" t="inlineStr">
        <is>
          <t>https://tse1.mm.bing.net/th?q=1TB%20Angelbird</t>
        </is>
      </c>
      <c r="E275" s="2" t="inlineStr">
        <is>
          <t>https://gripsfilmsrentals.com/product/1tb-angelbird/</t>
        </is>
      </c>
      <c r="F275" s="2" t="inlineStr">
        <is>
          <t>https://gripsfilmsrentals.com/shop/</t>
        </is>
      </c>
      <c r="G275" s="8" t="inlineStr">
        <is>
          <t>Storage</t>
        </is>
      </c>
      <c r="H275" s="8" t="inlineStr">
        <is>
          <t>Memory / Card Reader</t>
        </is>
      </c>
      <c r="I275" s="8" t="inlineStr"/>
      <c r="J275" s="9" t="inlineStr">
        <is>
          <t>1TB</t>
        </is>
      </c>
    </row>
    <row r="276" ht="125" customHeight="1">
      <c r="A276" s="2" t="inlineStr">
        <is>
          <t>Lens Hood</t>
        </is>
      </c>
      <c r="B276" s="3" t="n">
        <v>200</v>
      </c>
      <c r="C276" s="4">
        <f>IMAGE("https://tse1.mm.bing.net/th?q=Lens%20Hood", "Lens Hood", 3, 120, 120)</f>
        <v/>
      </c>
      <c r="D276" s="2" t="inlineStr">
        <is>
          <t>https://tse1.mm.bing.net/th?q=Lens%20Hood</t>
        </is>
      </c>
      <c r="E276" s="2" t="inlineStr">
        <is>
          <t>https://gripsfilmsrentals.com/product/lens-hood/</t>
        </is>
      </c>
      <c r="F276" s="2" t="inlineStr">
        <is>
          <t>https://gripsfilmsrentals.com/shop/</t>
        </is>
      </c>
      <c r="G276" s="8" t="inlineStr">
        <is>
          <t>Modifiers</t>
        </is>
      </c>
      <c r="H276" s="8" t="inlineStr">
        <is>
          <t>Light Modifier</t>
        </is>
      </c>
      <c r="I276" s="8" t="inlineStr"/>
      <c r="J276" s="9" t="inlineStr"/>
    </row>
    <row r="277" ht="125" customHeight="1">
      <c r="A277" s="2" t="inlineStr">
        <is>
          <t>Matte Box</t>
        </is>
      </c>
      <c r="B277" s="3" t="n">
        <v>5000</v>
      </c>
      <c r="C277" s="4">
        <f>IMAGE("https://tse1.mm.bing.net/th?q=Matte%20Box", "Matte Box", 3, 120, 120)</f>
        <v/>
      </c>
      <c r="D277" s="2" t="inlineStr">
        <is>
          <t>https://tse1.mm.bing.net/th?q=Matte%20Box</t>
        </is>
      </c>
      <c r="E277" s="2" t="inlineStr">
        <is>
          <t>https://gripsfilmsrentals.com/product/matte-box/</t>
        </is>
      </c>
      <c r="F277" s="2" t="inlineStr">
        <is>
          <t>https://gripsfilmsrentals.com/shop/</t>
        </is>
      </c>
      <c r="G277" s="8" t="inlineStr">
        <is>
          <t>Modifiers</t>
        </is>
      </c>
      <c r="H277" s="8" t="inlineStr">
        <is>
          <t>Light Modifier</t>
        </is>
      </c>
      <c r="I277" s="8" t="inlineStr"/>
      <c r="J277" s="9" t="inlineStr"/>
    </row>
    <row r="278" ht="125" customHeight="1">
      <c r="A278" s="2" t="inlineStr">
        <is>
          <t>UV</t>
        </is>
      </c>
      <c r="B278" s="3" t="n">
        <v>500</v>
      </c>
      <c r="C278" s="4">
        <f>IMAGE("https://tse1.mm.bing.net/th?q=UV", "UV", 3, 120, 120)</f>
        <v/>
      </c>
      <c r="D278" s="2" t="inlineStr">
        <is>
          <t>https://tse1.mm.bing.net/th?q=UV</t>
        </is>
      </c>
      <c r="E278" s="2" t="inlineStr">
        <is>
          <t>https://gripsfilmsrentals.com/product/uv/</t>
        </is>
      </c>
      <c r="F278" s="2" t="inlineStr">
        <is>
          <t>https://gripsfilmsrentals.com/shop/</t>
        </is>
      </c>
      <c r="G278" s="8" t="inlineStr">
        <is>
          <t>Modifiers</t>
        </is>
      </c>
      <c r="H278" s="8" t="inlineStr">
        <is>
          <t>Light Modifier</t>
        </is>
      </c>
      <c r="I278" s="8" t="inlineStr"/>
      <c r="J278" s="9" t="inlineStr"/>
    </row>
    <row r="279" ht="125" customHeight="1">
      <c r="A279" s="2" t="inlineStr">
        <is>
          <t>CPL</t>
        </is>
      </c>
      <c r="B279" s="3" t="n">
        <v>1000</v>
      </c>
      <c r="C279" s="4">
        <f>IMAGE("https://tse1.mm.bing.net/th?q=CPL", "CPL", 3, 120, 120)</f>
        <v/>
      </c>
      <c r="D279" s="2" t="inlineStr">
        <is>
          <t>https://tse1.mm.bing.net/th?q=CPL</t>
        </is>
      </c>
      <c r="E279" s="2" t="inlineStr">
        <is>
          <t>https://gripsfilmsrentals.com/product/cpl/</t>
        </is>
      </c>
      <c r="F279" s="2" t="inlineStr">
        <is>
          <t>https://gripsfilmsrentals.com/shop/</t>
        </is>
      </c>
      <c r="G279" s="8" t="inlineStr">
        <is>
          <t>Modifiers</t>
        </is>
      </c>
      <c r="H279" s="8" t="inlineStr">
        <is>
          <t>Light Modifier</t>
        </is>
      </c>
      <c r="I279" s="8" t="inlineStr"/>
      <c r="J279" s="9" t="inlineStr"/>
    </row>
    <row r="280" ht="125" customHeight="1">
      <c r="A280" s="2" t="inlineStr">
        <is>
          <t>ND Filters 82mm, 77mm, 72mm, 67mm, 62mm, 58mm</t>
        </is>
      </c>
      <c r="B280" s="3" t="n">
        <v>300</v>
      </c>
      <c r="C280" s="4">
        <f>IMAGE("https://tse1.mm.bing.net/th?q=ND%20Filters%2082mm%2C%2077mm%2C%2072mm%2C%2067mm%2C%2062mm%2C%2058mm", "ND Filters 82mm, 77mm, 72mm, 67mm, 62mm, 58mm", 3, 120, 120)</f>
        <v/>
      </c>
      <c r="D280" s="2" t="inlineStr">
        <is>
          <t>https://tse1.mm.bing.net/th?q=ND%20Filters%2082mm%2C%2077mm%2C%2072mm%2C%2067mm%2C%2062mm%2C%2058mm</t>
        </is>
      </c>
      <c r="E280" s="2" t="inlineStr">
        <is>
          <t>https://gripsfilmsrentals.com/product/nd-filters-82mm-77mm-72mm-67mm-62mm-58mm/</t>
        </is>
      </c>
      <c r="F280" s="2" t="inlineStr">
        <is>
          <t>https://gripsfilmsrentals.com/shop/</t>
        </is>
      </c>
      <c r="G280" s="8" t="inlineStr">
        <is>
          <t>Modifiers</t>
        </is>
      </c>
      <c r="H280" s="8" t="inlineStr">
        <is>
          <t>Light Modifier</t>
        </is>
      </c>
      <c r="I280" s="8" t="inlineStr"/>
      <c r="J280" s="9" t="inlineStr">
        <is>
          <t>82mm, 77mm, 72mm, 67mm, 62mm, 58mm</t>
        </is>
      </c>
    </row>
    <row r="281" ht="125" customHeight="1">
      <c r="A281" s="2" t="inlineStr">
        <is>
          <t>Metabones Speedbooster (Sony/ Lumix-Panasonic)</t>
        </is>
      </c>
      <c r="B281" s="3" t="n">
        <v>1000</v>
      </c>
      <c r="C281" s="4">
        <f>IMAGE("https://tse1.mm.bing.net/th?q=Metabones%20Speedbooster%20%28Sony/%20Lumix-Panasonic%29", "Metabones Speedbooster (Sony/ Lumix-Panasonic)", 3, 120, 120)</f>
        <v/>
      </c>
      <c r="D281" s="2" t="inlineStr">
        <is>
          <t>https://tse1.mm.bing.net/th?q=Metabones%20Speedbooster%20%28Sony/%20Lumix-Panasonic%29</t>
        </is>
      </c>
      <c r="E281" s="2" t="inlineStr">
        <is>
          <t>https://gripsfilmsrentals.com/product/metabones-speedbooster-sony-lumix-panasonic/</t>
        </is>
      </c>
      <c r="F281" s="2" t="inlineStr">
        <is>
          <t>https://gripsfilmsrentals.com/shop/</t>
        </is>
      </c>
      <c r="G281" s="8" t="inlineStr">
        <is>
          <t>Photography / Video Accessories</t>
        </is>
      </c>
      <c r="H281" s="8" t="inlineStr">
        <is>
          <t>Accessory</t>
        </is>
      </c>
      <c r="I281" s="8" t="inlineStr">
        <is>
          <t>Sony</t>
        </is>
      </c>
      <c r="J281" s="9" t="inlineStr"/>
    </row>
    <row r="282" ht="125" customHeight="1">
      <c r="A282" s="2" t="inlineStr">
        <is>
          <t>Trigger</t>
        </is>
      </c>
      <c r="B282" s="3" t="n">
        <v>300</v>
      </c>
      <c r="C282" s="4">
        <f>IMAGE("https://tse1.mm.bing.net/th?q=Trigger", "Trigger", 3, 120, 120)</f>
        <v/>
      </c>
      <c r="D282" s="2" t="inlineStr">
        <is>
          <t>https://tse1.mm.bing.net/th?q=Trigger</t>
        </is>
      </c>
      <c r="E282" s="2" t="inlineStr">
        <is>
          <t>https://gripsfilmsrentals.com/product/trigger/</t>
        </is>
      </c>
      <c r="F282" s="2" t="inlineStr">
        <is>
          <t>https://gripsfilmsrentals.com/shop/</t>
        </is>
      </c>
      <c r="G282" s="8" t="inlineStr">
        <is>
          <t>Photography / Video Accessories</t>
        </is>
      </c>
      <c r="H282" s="8" t="inlineStr">
        <is>
          <t>Accessory</t>
        </is>
      </c>
      <c r="I282" s="8" t="inlineStr"/>
      <c r="J282" s="9" t="inlineStr"/>
    </row>
    <row r="283" ht="125" customHeight="1">
      <c r="A283" s="2" t="inlineStr">
        <is>
          <t>Sony PD</t>
        </is>
      </c>
      <c r="B283" s="3" t="n">
        <v>200</v>
      </c>
      <c r="C283" s="4">
        <f>IMAGE("https://tse1.mm.bing.net/th?q=Sony%20PD", "Sony PD", 3, 120, 120)</f>
        <v/>
      </c>
      <c r="D283" s="2" t="inlineStr">
        <is>
          <t>https://tse1.mm.bing.net/th?q=Sony%20PD</t>
        </is>
      </c>
      <c r="E283" s="2" t="inlineStr">
        <is>
          <t>https://gripsfilmsrentals.com/product/sony-pd/</t>
        </is>
      </c>
      <c r="F283" s="2" t="inlineStr">
        <is>
          <t>https://gripsfilmsrentals.com/shop/</t>
        </is>
      </c>
      <c r="G283" s="8" t="inlineStr">
        <is>
          <t>Batteries plus Chargers</t>
        </is>
      </c>
      <c r="H283" s="8" t="inlineStr">
        <is>
          <t>Battery / Charger</t>
        </is>
      </c>
      <c r="I283" s="8" t="inlineStr">
        <is>
          <t>Sony</t>
        </is>
      </c>
      <c r="J283" s="9" t="inlineStr"/>
    </row>
    <row r="284" ht="125" customHeight="1">
      <c r="A284" s="2" t="inlineStr">
        <is>
          <t>V-Mount</t>
        </is>
      </c>
      <c r="B284" s="3" t="n">
        <v>1000</v>
      </c>
      <c r="C284" s="4">
        <f>IMAGE("https://tse1.mm.bing.net/th?q=V-Mount", "V-Mount", 3, 120, 120)</f>
        <v/>
      </c>
      <c r="D284" s="2" t="inlineStr">
        <is>
          <t>https://tse1.mm.bing.net/th?q=V-Mount</t>
        </is>
      </c>
      <c r="E284" s="2" t="inlineStr">
        <is>
          <t>https://gripsfilmsrentals.com/product/v-mount/</t>
        </is>
      </c>
      <c r="F284" s="2" t="inlineStr">
        <is>
          <t>https://gripsfilmsrentals.com/shop/</t>
        </is>
      </c>
      <c r="G284" s="8" t="inlineStr">
        <is>
          <t>Batteries plus Chargers</t>
        </is>
      </c>
      <c r="H284" s="8" t="inlineStr">
        <is>
          <t>Battery / Charger</t>
        </is>
      </c>
      <c r="I284" s="8" t="inlineStr"/>
      <c r="J284" s="9" t="inlineStr">
        <is>
          <t>V-Mount</t>
        </is>
      </c>
    </row>
    <row r="285" ht="125" customHeight="1">
      <c r="A285" s="2" t="inlineStr">
        <is>
          <t>Sony</t>
        </is>
      </c>
      <c r="B285" s="3" t="n">
        <v>300</v>
      </c>
      <c r="C285" s="4">
        <f>IMAGE("https://tse1.mm.bing.net/th?q=Sony", "Sony", 3, 120, 120)</f>
        <v/>
      </c>
      <c r="D285" s="2" t="inlineStr">
        <is>
          <t>https://tse1.mm.bing.net/th?q=Sony</t>
        </is>
      </c>
      <c r="E285" s="2" t="inlineStr">
        <is>
          <t>https://gripsfilmsrentals.com/product/sony/</t>
        </is>
      </c>
      <c r="F285" s="2" t="inlineStr">
        <is>
          <t>https://gripsfilmsrentals.com/shop/</t>
        </is>
      </c>
      <c r="G285" s="8" t="inlineStr">
        <is>
          <t>Photography / Video Accessories</t>
        </is>
      </c>
      <c r="H285" s="8" t="inlineStr">
        <is>
          <t>Accessory</t>
        </is>
      </c>
      <c r="I285" s="8" t="inlineStr">
        <is>
          <t>Sony</t>
        </is>
      </c>
      <c r="J285" s="9" t="inlineStr"/>
    </row>
    <row r="286" ht="125" customHeight="1">
      <c r="A286" s="2" t="inlineStr">
        <is>
          <t>Nikon</t>
        </is>
      </c>
      <c r="B286" s="3" t="n">
        <v>300</v>
      </c>
      <c r="C286" s="4">
        <f>IMAGE("https://tse1.mm.bing.net/th?q=Nikon", "Nikon", 3, 120, 120)</f>
        <v/>
      </c>
      <c r="D286" s="2" t="inlineStr">
        <is>
          <t>https://tse1.mm.bing.net/th?q=Nikon</t>
        </is>
      </c>
      <c r="E286" s="2" t="inlineStr">
        <is>
          <t>https://gripsfilmsrentals.com/product/nikon/</t>
        </is>
      </c>
      <c r="F286" s="2" t="inlineStr">
        <is>
          <t>https://gripsfilmsrentals.com/shop/</t>
        </is>
      </c>
      <c r="G286" s="8" t="inlineStr">
        <is>
          <t>Photography / Video Accessories</t>
        </is>
      </c>
      <c r="H286" s="8" t="inlineStr">
        <is>
          <t>Accessory</t>
        </is>
      </c>
      <c r="I286" s="8" t="inlineStr">
        <is>
          <t>Nikon</t>
        </is>
      </c>
      <c r="J286" s="9" t="inlineStr"/>
    </row>
    <row r="287" ht="125" customHeight="1">
      <c r="A287" s="2" t="inlineStr">
        <is>
          <t>Panasonic</t>
        </is>
      </c>
      <c r="B287" s="3" t="n">
        <v>300</v>
      </c>
      <c r="C287" s="4">
        <f>IMAGE("https://tse1.mm.bing.net/th?q=Panasonic", "Panasonic", 3, 120, 120)</f>
        <v/>
      </c>
      <c r="D287" s="2" t="inlineStr">
        <is>
          <t>https://tse1.mm.bing.net/th?q=Panasonic</t>
        </is>
      </c>
      <c r="E287" s="2" t="inlineStr">
        <is>
          <t>https://gripsfilmsrentals.com/product/panasonic/</t>
        </is>
      </c>
      <c r="F287" s="2" t="inlineStr">
        <is>
          <t>https://gripsfilmsrentals.com/shop/</t>
        </is>
      </c>
      <c r="G287" s="8" t="inlineStr">
        <is>
          <t>Photography / Video Accessories</t>
        </is>
      </c>
      <c r="H287" s="8" t="inlineStr">
        <is>
          <t>Accessory</t>
        </is>
      </c>
      <c r="I287" s="8" t="inlineStr">
        <is>
          <t>Panasonic</t>
        </is>
      </c>
      <c r="J287" s="9" t="inlineStr"/>
    </row>
    <row r="288" ht="125" customHeight="1">
      <c r="A288" s="2" t="inlineStr">
        <is>
          <t>PALO</t>
        </is>
      </c>
      <c r="B288" s="3" t="n">
        <v>200</v>
      </c>
      <c r="C288" s="4">
        <f>IMAGE("https://tse1.mm.bing.net/th?q=PALO", "PALO", 3, 120, 120)</f>
        <v/>
      </c>
      <c r="D288" s="2" t="inlineStr">
        <is>
          <t>https://tse1.mm.bing.net/th?q=PALO</t>
        </is>
      </c>
      <c r="E288" s="2" t="inlineStr">
        <is>
          <t>https://gripsfilmsrentals.com/product/palo/</t>
        </is>
      </c>
      <c r="F288" s="2" t="inlineStr">
        <is>
          <t>https://gripsfilmsrentals.com/shop/</t>
        </is>
      </c>
      <c r="G288" s="8" t="inlineStr">
        <is>
          <t>Photography / Video Accessories</t>
        </is>
      </c>
      <c r="H288" s="8" t="inlineStr">
        <is>
          <t>Accessory</t>
        </is>
      </c>
      <c r="I288" s="8" t="inlineStr"/>
      <c r="J288" s="9" t="inlineStr"/>
    </row>
    <row r="289" ht="125" customHeight="1">
      <c r="A289" s="2" t="inlineStr">
        <is>
          <t>Extension (drum rolls)</t>
        </is>
      </c>
      <c r="B289" s="3" t="n">
        <v>1000</v>
      </c>
      <c r="C289" s="4">
        <f>IMAGE("https://tse1.mm.bing.net/th?q=Extension%20%28drum%20rolls%29", "Extension (drum rolls)", 3, 120, 120)</f>
        <v/>
      </c>
      <c r="D289" s="2" t="inlineStr">
        <is>
          <t>https://tse1.mm.bing.net/th?q=Extension%20%28drum%20rolls%29</t>
        </is>
      </c>
      <c r="E289" s="2" t="inlineStr">
        <is>
          <t>https://gripsfilmsrentals.com/product/extension-drum-rolls/</t>
        </is>
      </c>
      <c r="F289" s="2" t="inlineStr">
        <is>
          <t>https://gripsfilmsrentals.com/shop/</t>
        </is>
      </c>
      <c r="G289" s="8" t="inlineStr">
        <is>
          <t>Photography / Video Accessories</t>
        </is>
      </c>
      <c r="H289" s="8" t="inlineStr">
        <is>
          <t>Accessory</t>
        </is>
      </c>
      <c r="I289" s="8" t="inlineStr"/>
      <c r="J289" s="9" t="inlineStr"/>
    </row>
    <row r="290" ht="125" customHeight="1">
      <c r="A290" s="2" t="inlineStr">
        <is>
          <t>Diffuser</t>
        </is>
      </c>
      <c r="B290" s="3" t="n">
        <v>200</v>
      </c>
      <c r="C290" s="4">
        <f>IMAGE("https://tse1.mm.bing.net/th?q=Diffuser", "Diffuser", 3, 120, 120)</f>
        <v/>
      </c>
      <c r="D290" s="2" t="inlineStr">
        <is>
          <t>https://tse1.mm.bing.net/th?q=Diffuser</t>
        </is>
      </c>
      <c r="E290" s="2" t="inlineStr">
        <is>
          <t>https://gripsfilmsrentals.com/product/diffuser/</t>
        </is>
      </c>
      <c r="F290" s="2" t="inlineStr">
        <is>
          <t>https://gripsfilmsrentals.com/shop/</t>
        </is>
      </c>
      <c r="G290" s="8" t="inlineStr">
        <is>
          <t>Photography / Video Accessories</t>
        </is>
      </c>
      <c r="H290" s="8" t="inlineStr">
        <is>
          <t>Accessory</t>
        </is>
      </c>
      <c r="I290" s="8" t="inlineStr"/>
      <c r="J290" s="9" t="inlineStr"/>
    </row>
    <row r="291" ht="125" customHeight="1">
      <c r="A291" s="2" t="inlineStr">
        <is>
          <t>Smoke Machine</t>
        </is>
      </c>
      <c r="B291" s="3" t="n">
        <v>4000</v>
      </c>
      <c r="C291" s="4">
        <f>IMAGE("https://tse1.mm.bing.net/th?q=Smoke%20Machine", "Smoke Machine", 3, 120, 120)</f>
        <v/>
      </c>
      <c r="D291" s="2" t="inlineStr">
        <is>
          <t>https://tse1.mm.bing.net/th?q=Smoke%20Machine</t>
        </is>
      </c>
      <c r="E291" s="2" t="inlineStr">
        <is>
          <t>https://gripsfilmsrentals.com/product/smoke-machine/</t>
        </is>
      </c>
      <c r="F291" s="2" t="inlineStr">
        <is>
          <t>https://gripsfilmsrentals.com/shop/</t>
        </is>
      </c>
      <c r="G291" s="8" t="inlineStr">
        <is>
          <t>Photography / Video Accessories</t>
        </is>
      </c>
      <c r="H291" s="8" t="inlineStr">
        <is>
          <t>Accessory</t>
        </is>
      </c>
      <c r="I291" s="8" t="inlineStr"/>
      <c r="J291" s="9" t="inlineStr"/>
    </row>
    <row r="292" ht="125" customHeight="1">
      <c r="A292" s="2" t="inlineStr">
        <is>
          <t>Reflector</t>
        </is>
      </c>
      <c r="B292" s="3" t="n">
        <v>500</v>
      </c>
      <c r="C292" s="4">
        <f>IMAGE("https://tse1.mm.bing.net/th?q=Reflector", "Reflector", 3, 120, 120)</f>
        <v/>
      </c>
      <c r="D292" s="2" t="inlineStr">
        <is>
          <t>https://tse1.mm.bing.net/th?q=Reflector</t>
        </is>
      </c>
      <c r="E292" s="2" t="inlineStr">
        <is>
          <t>https://gripsfilmsrentals.com/product/reflector/</t>
        </is>
      </c>
      <c r="F292" s="2" t="inlineStr">
        <is>
          <t>https://gripsfilmsrentals.com/shop/</t>
        </is>
      </c>
      <c r="G292" s="8" t="inlineStr">
        <is>
          <t>Modifiers</t>
        </is>
      </c>
      <c r="H292" s="8" t="inlineStr">
        <is>
          <t>Light Modifier</t>
        </is>
      </c>
      <c r="I292" s="8" t="inlineStr"/>
      <c r="J292" s="9" t="inlineStr"/>
    </row>
    <row r="293" ht="125" customHeight="1">
      <c r="A293" s="2" t="inlineStr">
        <is>
          <t>Converters – SDI to HDMI, HDMI to SDI, SDI/BNC cables, HDMI Cables</t>
        </is>
      </c>
      <c r="B293" s="3" t="n">
        <v>1000</v>
      </c>
      <c r="C293" s="4">
        <f>IMAGE("https://tse1.mm.bing.net/th?q=Converters%20%E2%80%93%20SDI%20to%20HDMI%2C%20HDMI%20to%20SDI%2C%20SDI/BNC%20cables%2C%20HDMI%20Cables", "Converters – SDI to HDMI, HDMI to SDI, SDI/BNC cables, HDMI Cables", 3, 120, 120)</f>
        <v/>
      </c>
      <c r="D293" s="2" t="inlineStr">
        <is>
          <t>https://tse1.mm.bing.net/th?q=Converters%20%E2%80%93%20SDI%20to%20HDMI%2C%20HDMI%20to%20SDI%2C%20SDI/BNC%20cables%2C%20HDMI%20Cables</t>
        </is>
      </c>
      <c r="E293" s="2" t="inlineStr">
        <is>
          <t>https://gripsfilmsrentals.com/product/converters--sdi-to-hdmi-hdmi-to-sdi-sdi-bnc-cables-hdmi-cables/</t>
        </is>
      </c>
      <c r="F293" s="2" t="inlineStr">
        <is>
          <t>https://gripsfilmsrentals.com/shop/</t>
        </is>
      </c>
      <c r="G293" s="8" t="inlineStr">
        <is>
          <t>Photography / Video Accessories</t>
        </is>
      </c>
      <c r="H293" s="8" t="inlineStr">
        <is>
          <t>Accessory</t>
        </is>
      </c>
      <c r="I293" s="8" t="inlineStr"/>
      <c r="J293" s="9" t="inlineStr">
        <is>
          <t>SDI, HDMI</t>
        </is>
      </c>
    </row>
    <row r="294" ht="125" customHeight="1">
      <c r="A294" s="2" t="inlineStr">
        <is>
          <t>Black Magic web presenter + Teranex smart panel</t>
        </is>
      </c>
      <c r="B294" s="3" t="n">
        <v>10000</v>
      </c>
      <c r="C294" s="4">
        <f>IMAGE("https://tse1.mm.bing.net/th?q=Black%20Magic%20web%20presenter%20%2B%20Teranex%20smart%20panel", "Black Magic web presenter + Teranex smart panel", 3, 120, 120)</f>
        <v/>
      </c>
      <c r="D294" s="2" t="inlineStr">
        <is>
          <t>https://tse1.mm.bing.net/th?q=Black%20Magic%20web%20presenter%20%2B%20Teranex%20smart%20panel</t>
        </is>
      </c>
      <c r="E294" s="2" t="inlineStr">
        <is>
          <t>https://gripsfilmsrentals.com/product/black-magic-web-presenter--teranex-smart-panel/</t>
        </is>
      </c>
      <c r="F294" s="2" t="inlineStr">
        <is>
          <t>https://gripsfilmsrentals.com/shop/</t>
        </is>
      </c>
      <c r="G294" s="8" t="inlineStr">
        <is>
          <t>Livestream/Switchers</t>
        </is>
      </c>
      <c r="H294" s="8" t="inlineStr">
        <is>
          <t>Switchers / Streaming</t>
        </is>
      </c>
      <c r="I294" s="8" t="inlineStr">
        <is>
          <t>Black Magic</t>
        </is>
      </c>
      <c r="J294" s="9" t="inlineStr"/>
    </row>
    <row r="295" ht="125" customHeight="1">
      <c r="A295" s="2" t="inlineStr">
        <is>
          <t>ATEM Television Studio Pro 4k</t>
        </is>
      </c>
      <c r="B295" s="3" t="n">
        <v>12000</v>
      </c>
      <c r="C295" s="4">
        <f>IMAGE("https://tse1.mm.bing.net/th?q=ATEM%20Television%20Studio%20Pro%204k", "ATEM Television Studio Pro 4k", 3, 120, 120)</f>
        <v/>
      </c>
      <c r="D295" s="2" t="inlineStr">
        <is>
          <t>https://tse1.mm.bing.net/th?q=ATEM%20Television%20Studio%20Pro%204k</t>
        </is>
      </c>
      <c r="E295" s="2" t="inlineStr">
        <is>
          <t>https://gripsfilmsrentals.com/product/atem-television-studio-pro-4k/</t>
        </is>
      </c>
      <c r="F295" s="2" t="inlineStr">
        <is>
          <t>https://gripsfilmsrentals.com/shop/</t>
        </is>
      </c>
      <c r="G295" s="8" t="inlineStr">
        <is>
          <t>Livestream/Switchers</t>
        </is>
      </c>
      <c r="H295" s="8" t="inlineStr">
        <is>
          <t>Switchers / Streaming</t>
        </is>
      </c>
      <c r="I295" s="8" t="inlineStr"/>
      <c r="J295" s="9" t="inlineStr">
        <is>
          <t>4k</t>
        </is>
      </c>
    </row>
    <row r="296" ht="125" customHeight="1">
      <c r="A296" s="2" t="inlineStr">
        <is>
          <t>Atomos Shogun Inferno 7” Recording Monitor (SDI)</t>
        </is>
      </c>
      <c r="B296" s="3" t="n">
        <v>3500</v>
      </c>
      <c r="C296" s="4">
        <f>IMAGE("https://tse1.mm.bing.net/th?q=Atomos%20Shogun%20Inferno%207%E2%80%9D%20Recording%20Monitor%20%28SDI%29", "Atomos Shogun Inferno 7” Recording Monitor (SDI)", 3, 120, 120)</f>
        <v/>
      </c>
      <c r="D296" s="2" t="inlineStr">
        <is>
          <t>https://tse1.mm.bing.net/th?q=Atomos%20Shogun%20Inferno%207%E2%80%9D%20Recording%20Monitor%20%28SDI%29</t>
        </is>
      </c>
      <c r="E296" s="2" t="inlineStr">
        <is>
          <t>https://gripsfilmsrentals.com/product/atomos-shogun-inferno-7-recording-monitor-sdi/</t>
        </is>
      </c>
      <c r="F296" s="2" t="inlineStr">
        <is>
          <t>https://gripsfilmsrentals.com/shop/</t>
        </is>
      </c>
      <c r="G296" s="8" t="inlineStr">
        <is>
          <t>External Monitors</t>
        </is>
      </c>
      <c r="H296" s="8" t="inlineStr">
        <is>
          <t>External Monitor</t>
        </is>
      </c>
      <c r="I296" s="8" t="inlineStr">
        <is>
          <t>Atomos</t>
        </is>
      </c>
      <c r="J296" s="9" t="inlineStr">
        <is>
          <t>SDI</t>
        </is>
      </c>
    </row>
    <row r="297" ht="125" customHeight="1">
      <c r="A297" s="2" t="inlineStr">
        <is>
          <t>Atomos Ninja Blade (HDMI)</t>
        </is>
      </c>
      <c r="B297" s="3" t="n">
        <v>3000</v>
      </c>
      <c r="C297" s="4">
        <f>IMAGE("https://tse1.mm.bing.net/th?q=Atomos%20Ninja%20Blade%20%28HDMI%29", "Atomos Ninja Blade (HDMI)", 3, 120, 120)</f>
        <v/>
      </c>
      <c r="D297" s="2" t="inlineStr">
        <is>
          <t>https://tse1.mm.bing.net/th?q=Atomos%20Ninja%20Blade%20%28HDMI%29</t>
        </is>
      </c>
      <c r="E297" s="2" t="inlineStr">
        <is>
          <t>https://gripsfilmsrentals.com/product/atomos-ninja-blade-hdmi/</t>
        </is>
      </c>
      <c r="F297" s="2" t="inlineStr">
        <is>
          <t>https://gripsfilmsrentals.com/shop/</t>
        </is>
      </c>
      <c r="G297" s="8" t="inlineStr">
        <is>
          <t>External Monitors</t>
        </is>
      </c>
      <c r="H297" s="8" t="inlineStr">
        <is>
          <t>External Monitor</t>
        </is>
      </c>
      <c r="I297" s="8" t="inlineStr">
        <is>
          <t>Atomos</t>
        </is>
      </c>
      <c r="J297" s="9" t="inlineStr">
        <is>
          <t>HDMI</t>
        </is>
      </c>
    </row>
    <row r="298" ht="125" customHeight="1">
      <c r="A298" s="2" t="inlineStr">
        <is>
          <t>Atomos Sumo 19’ HDR Monitor Recorder Kit V-Mount read</t>
        </is>
      </c>
      <c r="B298" s="3" t="n">
        <v>10000</v>
      </c>
      <c r="C298" s="4">
        <f>IMAGE("https://tse1.mm.bing.net/th?q=Atomos%20Sumo%2019%E2%80%99%20HDR%20Monitor%20Recorder%20Kit%20V-Mount%20read", "Atomos Sumo 19’ HDR Monitor Recorder Kit V-Mount read", 3, 120, 120)</f>
        <v/>
      </c>
      <c r="D298" s="2" t="inlineStr">
        <is>
          <t>https://tse1.mm.bing.net/th?q=Atomos%20Sumo%2019%E2%80%99%20HDR%20Monitor%20Recorder%20Kit%20V-Mount%20read</t>
        </is>
      </c>
      <c r="E298" s="2" t="inlineStr">
        <is>
          <t>https://gripsfilmsrentals.com/product/atomos-sumo-19-hdr-monitor-recorder-kit-v-mount-read/</t>
        </is>
      </c>
      <c r="F298" s="2" t="inlineStr">
        <is>
          <t>https://gripsfilmsrentals.com/shop/</t>
        </is>
      </c>
      <c r="G298" s="8" t="inlineStr">
        <is>
          <t>Batteries plus Chargers</t>
        </is>
      </c>
      <c r="H298" s="8" t="inlineStr">
        <is>
          <t>Battery / Charger</t>
        </is>
      </c>
      <c r="I298" s="8" t="inlineStr">
        <is>
          <t>Atomos</t>
        </is>
      </c>
      <c r="J298" s="9" t="inlineStr">
        <is>
          <t>V-Mount</t>
        </is>
      </c>
    </row>
    <row r="299" ht="125" customHeight="1">
      <c r="A299" s="2" t="inlineStr">
        <is>
          <t>Backdrops (All colours) + Goal Post</t>
        </is>
      </c>
      <c r="B299" s="3" t="n">
        <v>2000</v>
      </c>
      <c r="C299" s="4">
        <f>IMAGE("https://tse1.mm.bing.net/th?q=Backdrops%20%28All%20colours%29%20%2B%20Goal%20Post", "Backdrops (All colours) + Goal Post", 3, 120, 120)</f>
        <v/>
      </c>
      <c r="D299" s="2" t="inlineStr">
        <is>
          <t>https://tse1.mm.bing.net/th?q=Backdrops%20%28All%20colours%29%20%2B%20Goal%20Post</t>
        </is>
      </c>
      <c r="E299" s="2" t="inlineStr">
        <is>
          <t>https://gripsfilmsrentals.com/product/backdrops-all-colours--goal-post/</t>
        </is>
      </c>
      <c r="F299" s="2" t="inlineStr">
        <is>
          <t>https://gripsfilmsrentals.com/shop/</t>
        </is>
      </c>
      <c r="G299" s="8" t="inlineStr">
        <is>
          <t>Photography / Video Accessories</t>
        </is>
      </c>
      <c r="H299" s="8" t="inlineStr">
        <is>
          <t>Accessory</t>
        </is>
      </c>
      <c r="I299" s="8" t="inlineStr"/>
      <c r="J299" s="9" t="inlineStr"/>
    </row>
    <row r="300" ht="125" customHeight="1">
      <c r="A300" s="2" t="inlineStr">
        <is>
          <t>GoPro Gimble</t>
        </is>
      </c>
      <c r="B300" s="3" t="n">
        <v>2000</v>
      </c>
      <c r="C300" s="4">
        <f>IMAGE("https://tse1.mm.bing.net/th?q=GoPro%20Gimble", "GoPro Gimble", 3, 120, 120)</f>
        <v/>
      </c>
      <c r="D300" s="2" t="inlineStr">
        <is>
          <t>https://tse1.mm.bing.net/th?q=GoPro%20Gimble</t>
        </is>
      </c>
      <c r="E300" s="2" t="inlineStr">
        <is>
          <t>https://gripsfilmsrentals.com/product/gopro-gimble/</t>
        </is>
      </c>
      <c r="F300" s="2" t="inlineStr">
        <is>
          <t>https://gripsfilmsrentals.com/shop/</t>
        </is>
      </c>
      <c r="G300" s="8" t="inlineStr">
        <is>
          <t>Cameras</t>
        </is>
      </c>
      <c r="H300" s="8" t="inlineStr">
        <is>
          <t>Action Cameras</t>
        </is>
      </c>
      <c r="I300" s="8" t="inlineStr">
        <is>
          <t>GoPro</t>
        </is>
      </c>
      <c r="J300" s="9" t="inlineStr"/>
    </row>
    <row r="301" ht="125" customHeight="1">
      <c r="A301" s="2" t="inlineStr">
        <is>
          <t>Osmo Mobile</t>
        </is>
      </c>
      <c r="B301" s="3" t="n">
        <v>1000</v>
      </c>
      <c r="C301" s="4">
        <f>IMAGE("https://tse1.mm.bing.net/th?q=Osmo%20Mobile", "Osmo Mobile", 3, 120, 120)</f>
        <v/>
      </c>
      <c r="D301" s="2" t="inlineStr">
        <is>
          <t>https://tse1.mm.bing.net/th?q=Osmo%20Mobile</t>
        </is>
      </c>
      <c r="E301" s="2" t="inlineStr">
        <is>
          <t>https://gripsfilmsrentals.com/product/osmo-mobile/</t>
        </is>
      </c>
      <c r="F301" s="2" t="inlineStr">
        <is>
          <t>https://gripsfilmsrentals.com/shop/</t>
        </is>
      </c>
      <c r="G301" s="8" t="inlineStr">
        <is>
          <t>Photography / Video Accessories</t>
        </is>
      </c>
      <c r="H301" s="8" t="inlineStr">
        <is>
          <t>Accessory</t>
        </is>
      </c>
      <c r="I301" s="8" t="inlineStr"/>
      <c r="J301" s="9" t="inlineStr"/>
    </row>
    <row r="302" ht="125" customHeight="1">
      <c r="A302" s="2" t="inlineStr">
        <is>
          <t>Slider (Proaim)</t>
        </is>
      </c>
      <c r="B302" s="3" t="n">
        <v>3000</v>
      </c>
      <c r="C302" s="4">
        <f>IMAGE("https://tse1.mm.bing.net/th?q=Slider%20%28Proaim%29", "Slider (Proaim)", 3, 120, 120)</f>
        <v/>
      </c>
      <c r="D302" s="2" t="inlineStr">
        <is>
          <t>https://tse1.mm.bing.net/th?q=Slider%20%28Proaim%29</t>
        </is>
      </c>
      <c r="E302" s="2" t="inlineStr">
        <is>
          <t>https://gripsfilmsrentals.com/product/slider-proaim/</t>
        </is>
      </c>
      <c r="F302" s="2" t="inlineStr">
        <is>
          <t>https://gripsfilmsrentals.com/shop/</t>
        </is>
      </c>
      <c r="G302" s="8" t="inlineStr">
        <is>
          <t>Motion</t>
        </is>
      </c>
      <c r="H302" s="8" t="inlineStr">
        <is>
          <t>Dolly / Slider / Jib</t>
        </is>
      </c>
      <c r="I302" s="8" t="inlineStr">
        <is>
          <t>Proaim</t>
        </is>
      </c>
      <c r="J302" s="9" t="inlineStr"/>
    </row>
    <row r="303" ht="125" customHeight="1">
      <c r="A303" s="2" t="inlineStr">
        <is>
          <t>Monopod</t>
        </is>
      </c>
      <c r="B303" s="3" t="n">
        <v>700</v>
      </c>
      <c r="C303" s="4">
        <f>IMAGE("https://tse1.mm.bing.net/th?q=Monopod", "Monopod", 3, 120, 120)</f>
        <v/>
      </c>
      <c r="D303" s="2" t="inlineStr">
        <is>
          <t>https://tse1.mm.bing.net/th?q=Monopod</t>
        </is>
      </c>
      <c r="E303" s="2" t="inlineStr">
        <is>
          <t>https://gripsfilmsrentals.com/product/monopod/</t>
        </is>
      </c>
      <c r="F303" s="2" t="inlineStr">
        <is>
          <t>https://gripsfilmsrentals.com/shop/</t>
        </is>
      </c>
      <c r="G303" s="8" t="inlineStr">
        <is>
          <t>Stands</t>
        </is>
      </c>
      <c r="H303" s="8" t="inlineStr">
        <is>
          <t>Stand / Support</t>
        </is>
      </c>
      <c r="I303" s="8" t="inlineStr"/>
      <c r="J303" s="9" t="inlineStr"/>
    </row>
    <row r="304" ht="125" customHeight="1">
      <c r="A304" s="2" t="inlineStr">
        <is>
          <t>C-Stand</t>
        </is>
      </c>
      <c r="B304" s="3" t="n">
        <v>1000</v>
      </c>
      <c r="C304" s="4">
        <f>IMAGE("https://tse1.mm.bing.net/th?q=C-Stand", "C-Stand", 3, 120, 120)</f>
        <v/>
      </c>
      <c r="D304" s="2" t="inlineStr">
        <is>
          <t>https://tse1.mm.bing.net/th?q=C-Stand</t>
        </is>
      </c>
      <c r="E304" s="2" t="inlineStr">
        <is>
          <t>https://gripsfilmsrentals.com/product/c-stand/</t>
        </is>
      </c>
      <c r="F304" s="2" t="inlineStr">
        <is>
          <t>https://gripsfilmsrentals.com/shop/</t>
        </is>
      </c>
      <c r="G304" s="8" t="inlineStr">
        <is>
          <t>Stands</t>
        </is>
      </c>
      <c r="H304" s="8" t="inlineStr">
        <is>
          <t>Stand / Support</t>
        </is>
      </c>
      <c r="I304" s="8" t="inlineStr"/>
      <c r="J304" s="9" t="inlineStr"/>
    </row>
    <row r="305" ht="125" customHeight="1">
      <c r="A305" s="2" t="inlineStr">
        <is>
          <t>Lightstand (small)</t>
        </is>
      </c>
      <c r="B305" s="3" t="n">
        <v>200</v>
      </c>
      <c r="C305" s="4">
        <f>IMAGE("https://tse1.mm.bing.net/th?q=Lightstand%20%28small%29", "Lightstand (small)", 3, 120, 120)</f>
        <v/>
      </c>
      <c r="D305" s="2" t="inlineStr">
        <is>
          <t>https://tse1.mm.bing.net/th?q=Lightstand%20%28small%29</t>
        </is>
      </c>
      <c r="E305" s="2" t="inlineStr">
        <is>
          <t>https://gripsfilmsrentals.com/product/lightstand-small/</t>
        </is>
      </c>
      <c r="F305" s="2" t="inlineStr">
        <is>
          <t>https://gripsfilmsrentals.com/shop/</t>
        </is>
      </c>
      <c r="G305" s="8" t="inlineStr">
        <is>
          <t>Stands</t>
        </is>
      </c>
      <c r="H305" s="8" t="inlineStr">
        <is>
          <t>Stand / Support</t>
        </is>
      </c>
      <c r="I305" s="8" t="inlineStr"/>
      <c r="J305" s="9" t="inlineStr"/>
    </row>
    <row r="306" ht="125" customHeight="1">
      <c r="A306" s="2" t="inlineStr">
        <is>
          <t>Lightstand (big)</t>
        </is>
      </c>
      <c r="B306" s="3" t="n">
        <v>300</v>
      </c>
      <c r="C306" s="4">
        <f>IMAGE("https://tse1.mm.bing.net/th?q=Lightstand%20%28big%29", "Lightstand (big)", 3, 120, 120)</f>
        <v/>
      </c>
      <c r="D306" s="2" t="inlineStr">
        <is>
          <t>https://tse1.mm.bing.net/th?q=Lightstand%20%28big%29</t>
        </is>
      </c>
      <c r="E306" s="2" t="inlineStr">
        <is>
          <t>https://gripsfilmsrentals.com/product/lightstand-big/</t>
        </is>
      </c>
      <c r="F306" s="2" t="inlineStr">
        <is>
          <t>https://gripsfilmsrentals.com/shop/</t>
        </is>
      </c>
      <c r="G306" s="8" t="inlineStr">
        <is>
          <t>Stands</t>
        </is>
      </c>
      <c r="H306" s="8" t="inlineStr">
        <is>
          <t>Stand / Support</t>
        </is>
      </c>
      <c r="I306" s="8" t="inlineStr"/>
      <c r="J306" s="9" t="inlineStr"/>
    </row>
    <row r="307" ht="125" customHeight="1">
      <c r="A307" s="2" t="inlineStr">
        <is>
          <t>Tripod (Nest)</t>
        </is>
      </c>
      <c r="B307" s="3" t="n">
        <v>1000</v>
      </c>
      <c r="C307" s="4">
        <f>IMAGE("https://tse1.mm.bing.net/th?q=Tripod%20%28Nest%29", "Tripod (Nest)", 3, 120, 120)</f>
        <v/>
      </c>
      <c r="D307" s="2" t="inlineStr">
        <is>
          <t>https://tse1.mm.bing.net/th?q=Tripod%20%28Nest%29</t>
        </is>
      </c>
      <c r="E307" s="2" t="inlineStr">
        <is>
          <t>https://gripsfilmsrentals.com/product/tripod-nest/</t>
        </is>
      </c>
      <c r="F307" s="2" t="inlineStr">
        <is>
          <t>https://gripsfilmsrentals.com/shop/</t>
        </is>
      </c>
      <c r="G307" s="8" t="inlineStr">
        <is>
          <t>Stands</t>
        </is>
      </c>
      <c r="H307" s="8" t="inlineStr">
        <is>
          <t>Stand / Support</t>
        </is>
      </c>
      <c r="I307" s="8" t="inlineStr"/>
      <c r="J307" s="9" t="inlineStr"/>
    </row>
    <row r="308" ht="125" customHeight="1">
      <c r="A308" s="2" t="inlineStr">
        <is>
          <t>Boom Mic (NTG2+) (MK600)</t>
        </is>
      </c>
      <c r="B308" s="3" t="n">
        <v>2500</v>
      </c>
      <c r="C308" s="4">
        <f>IMAGE("https://tse1.mm.bing.net/th?q=Boom%20Mic%20%28NTG2%2B%29%20%28MK600%29", "Boom Mic (NTG2+) (MK600)", 3, 120, 120)</f>
        <v/>
      </c>
      <c r="D308" s="2" t="inlineStr">
        <is>
          <t>https://tse1.mm.bing.net/th?q=Boom%20Mic%20%28NTG2%2B%29%20%28MK600%29</t>
        </is>
      </c>
      <c r="E308" s="2" t="inlineStr">
        <is>
          <t>https://gripsfilmsrentals.com/product/boom-mic-ntg2--mk600/</t>
        </is>
      </c>
      <c r="F308" s="2" t="inlineStr">
        <is>
          <t>https://gripsfilmsrentals.com/shop/</t>
        </is>
      </c>
      <c r="G308" s="8" t="inlineStr">
        <is>
          <t>Sound</t>
        </is>
      </c>
      <c r="H308" s="8" t="inlineStr">
        <is>
          <t>Boom Mic</t>
        </is>
      </c>
      <c r="I308" s="8" t="inlineStr"/>
      <c r="J308" s="9" t="inlineStr"/>
    </row>
    <row r="309" ht="125" customHeight="1">
      <c r="A309" s="2" t="inlineStr">
        <is>
          <t>Sennheiser Handheld Microphone</t>
        </is>
      </c>
      <c r="B309" s="3" t="n">
        <v>2000</v>
      </c>
      <c r="C309" s="4">
        <f>IMAGE("https://tse1.mm.bing.net/th?q=Sennheiser%20Handheld%20Microphone", "Sennheiser Handheld Microphone", 3, 120, 120)</f>
        <v/>
      </c>
      <c r="D309" s="2" t="inlineStr">
        <is>
          <t>https://tse1.mm.bing.net/th?q=Sennheiser%20Handheld%20Microphone</t>
        </is>
      </c>
      <c r="E309" s="2" t="inlineStr">
        <is>
          <t>https://gripsfilmsrentals.com/product/sennheiser-handheld-microphone/</t>
        </is>
      </c>
      <c r="F309" s="2" t="inlineStr">
        <is>
          <t>https://gripsfilmsrentals.com/shop/</t>
        </is>
      </c>
      <c r="G309" s="8" t="inlineStr">
        <is>
          <t>Sound</t>
        </is>
      </c>
      <c r="H309" s="8" t="inlineStr">
        <is>
          <t>Microphone</t>
        </is>
      </c>
      <c r="I309" s="8" t="inlineStr"/>
      <c r="J309" s="9" t="inlineStr"/>
    </row>
    <row r="310" ht="125" customHeight="1">
      <c r="A310" s="2" t="inlineStr">
        <is>
          <t>Zoom Recorder H6</t>
        </is>
      </c>
      <c r="B310" s="3" t="n">
        <v>1500</v>
      </c>
      <c r="C310" s="4">
        <f>IMAGE("https://tse1.mm.bing.net/th?q=Zoom%20Recorder%20H6", "Zoom Recorder H6", 3, 120, 120)</f>
        <v/>
      </c>
      <c r="D310" s="2" t="inlineStr">
        <is>
          <t>https://tse1.mm.bing.net/th?q=Zoom%20Recorder%20H6</t>
        </is>
      </c>
      <c r="E310" s="2" t="inlineStr">
        <is>
          <t>https://gripsfilmsrentals.com/product/zoom-recorder-h6/</t>
        </is>
      </c>
      <c r="F310" s="2" t="inlineStr">
        <is>
          <t>https://gripsfilmsrentals.com/shop/</t>
        </is>
      </c>
      <c r="G310" s="8" t="inlineStr">
        <is>
          <t>Sound</t>
        </is>
      </c>
      <c r="H310" s="8" t="inlineStr">
        <is>
          <t>Zoom Recorder</t>
        </is>
      </c>
      <c r="I310" s="8" t="inlineStr">
        <is>
          <t>Zoom</t>
        </is>
      </c>
      <c r="J310" s="9" t="inlineStr"/>
    </row>
    <row r="311" ht="125" customHeight="1">
      <c r="A311" s="2" t="inlineStr">
        <is>
          <t>Lapel Mic (Sony)</t>
        </is>
      </c>
      <c r="B311" s="3" t="n">
        <v>1500</v>
      </c>
      <c r="C311" s="4">
        <f>IMAGE("https://tse1.mm.bing.net/th?q=Lapel%20Mic%20%28Sony%29", "Lapel Mic (Sony)", 3, 120, 120)</f>
        <v/>
      </c>
      <c r="D311" s="2" t="inlineStr">
        <is>
          <t>https://tse1.mm.bing.net/th?q=Lapel%20Mic%20%28Sony%29</t>
        </is>
      </c>
      <c r="E311" s="2" t="inlineStr">
        <is>
          <t>https://gripsfilmsrentals.com/product/lapel-mic-sony/</t>
        </is>
      </c>
      <c r="F311" s="2" t="inlineStr">
        <is>
          <t>https://gripsfilmsrentals.com/shop/</t>
        </is>
      </c>
      <c r="G311" s="8" t="inlineStr">
        <is>
          <t>Sound</t>
        </is>
      </c>
      <c r="H311" s="8" t="inlineStr">
        <is>
          <t>Lapels</t>
        </is>
      </c>
      <c r="I311" s="8" t="inlineStr">
        <is>
          <t>Sony</t>
        </is>
      </c>
      <c r="J311" s="9" t="inlineStr"/>
    </row>
    <row r="312" ht="125" customHeight="1">
      <c r="A312" s="2" t="inlineStr">
        <is>
          <t>Lapel mic (Sennheiser)</t>
        </is>
      </c>
      <c r="B312" s="3" t="n">
        <v>1500</v>
      </c>
      <c r="C312" s="4">
        <f>IMAGE("https://tse1.mm.bing.net/th?q=Lapel%20mic%20%28Sennheiser%29", "Lapel mic (Sennheiser)", 3, 120, 120)</f>
        <v/>
      </c>
      <c r="D312" s="2" t="inlineStr">
        <is>
          <t>https://tse1.mm.bing.net/th?q=Lapel%20mic%20%28Sennheiser%29</t>
        </is>
      </c>
      <c r="E312" s="2" t="inlineStr">
        <is>
          <t>https://gripsfilmsrentals.com/product/lapel-mic-sennheiser/</t>
        </is>
      </c>
      <c r="F312" s="2" t="inlineStr">
        <is>
          <t>https://gripsfilmsrentals.com/shop/</t>
        </is>
      </c>
      <c r="G312" s="8" t="inlineStr">
        <is>
          <t>Sound</t>
        </is>
      </c>
      <c r="H312" s="8" t="inlineStr">
        <is>
          <t>Lapels</t>
        </is>
      </c>
      <c r="I312" s="8" t="inlineStr"/>
      <c r="J312" s="9" t="inlineStr"/>
    </row>
    <row r="313" ht="125" customHeight="1">
      <c r="A313" s="2" t="inlineStr">
        <is>
          <t>RGB Top Light (battery powered)</t>
        </is>
      </c>
      <c r="B313" s="3" t="n">
        <v>500</v>
      </c>
      <c r="C313" s="4">
        <f>IMAGE("https://tse1.mm.bing.net/th?q=RGB%20Top%20Light%20%28battery%20powered%29", "RGB Top Light (battery powered)", 3, 120, 120)</f>
        <v/>
      </c>
      <c r="D313" s="2" t="inlineStr">
        <is>
          <t>https://tse1.mm.bing.net/th?q=RGB%20Top%20Light%20%28battery%20powered%29</t>
        </is>
      </c>
      <c r="E313" s="2" t="inlineStr">
        <is>
          <t>https://gripsfilmsrentals.com/product/rgb-top-light-battery-powered/</t>
        </is>
      </c>
      <c r="F313" s="2" t="inlineStr">
        <is>
          <t>https://gripsfilmsrentals.com/shop/</t>
        </is>
      </c>
      <c r="G313" s="8" t="inlineStr">
        <is>
          <t>Batteries plus Chargers</t>
        </is>
      </c>
      <c r="H313" s="8" t="inlineStr">
        <is>
          <t>Battery / Charger</t>
        </is>
      </c>
      <c r="I313" s="8" t="inlineStr">
        <is>
          <t>RED</t>
        </is>
      </c>
      <c r="J313" s="9" t="inlineStr">
        <is>
          <t>RGB</t>
        </is>
      </c>
    </row>
    <row r="314" ht="125" customHeight="1">
      <c r="A314" s="2" t="inlineStr">
        <is>
          <t>Godox V1 (Nikon &amp; Canon)</t>
        </is>
      </c>
      <c r="B314" s="3" t="n">
        <v>800</v>
      </c>
      <c r="C314" s="4">
        <f>IMAGE("https://tse1.mm.bing.net/th?q=Godox%20V1%20%28Nikon%20%26%20Canon%29", "Godox V1 (Nikon &amp; Canon)", 3, 120, 120)</f>
        <v/>
      </c>
      <c r="D314" s="2" t="inlineStr">
        <is>
          <t>https://tse1.mm.bing.net/th?q=Godox%20V1%20%28Nikon%20%26%20Canon%29</t>
        </is>
      </c>
      <c r="E314" s="2" t="inlineStr">
        <is>
          <t>https://gripsfilmsrentals.com/product/godox-v1-nikon--canon/</t>
        </is>
      </c>
      <c r="F314" s="2" t="inlineStr">
        <is>
          <t>https://gripsfilmsrentals.com/shop/</t>
        </is>
      </c>
      <c r="G314" s="8" t="inlineStr">
        <is>
          <t>Photography / Video Accessories</t>
        </is>
      </c>
      <c r="H314" s="8" t="inlineStr">
        <is>
          <t>Accessory</t>
        </is>
      </c>
      <c r="I314" s="8" t="inlineStr">
        <is>
          <t>Canon</t>
        </is>
      </c>
      <c r="J314" s="9" t="inlineStr"/>
    </row>
    <row r="315" ht="125" customHeight="1">
      <c r="A315" s="2" t="inlineStr">
        <is>
          <t>Speedlights Godox V850</t>
        </is>
      </c>
      <c r="B315" s="3" t="n">
        <v>700</v>
      </c>
      <c r="C315" s="4">
        <f>IMAGE("https://tse1.mm.bing.net/th?q=Speedlights%20Godox%20V850", "Speedlights Godox V850", 3, 120, 120)</f>
        <v/>
      </c>
      <c r="D315" s="2" t="inlineStr">
        <is>
          <t>https://tse1.mm.bing.net/th?q=Speedlights%20Godox%20V850</t>
        </is>
      </c>
      <c r="E315" s="2" t="inlineStr">
        <is>
          <t>https://gripsfilmsrentals.com/product/speedlights-godox-v850/</t>
        </is>
      </c>
      <c r="F315" s="2" t="inlineStr">
        <is>
          <t>https://gripsfilmsrentals.com/shop/</t>
        </is>
      </c>
      <c r="G315" s="8" t="inlineStr">
        <is>
          <t>Lights</t>
        </is>
      </c>
      <c r="H315" s="8" t="inlineStr">
        <is>
          <t>Speedlights</t>
        </is>
      </c>
      <c r="I315" s="8" t="inlineStr">
        <is>
          <t>Godox</t>
        </is>
      </c>
      <c r="J315" s="9" t="inlineStr"/>
    </row>
    <row r="316" ht="125" customHeight="1">
      <c r="A316" s="2" t="inlineStr">
        <is>
          <t>Speedlights Yongnuo 685</t>
        </is>
      </c>
      <c r="B316" s="3" t="n">
        <v>500</v>
      </c>
      <c r="C316" s="4">
        <f>IMAGE("https://tse1.mm.bing.net/th?q=Speedlights%20Yongnuo%20685", "Speedlights Yongnuo 685", 3, 120, 120)</f>
        <v/>
      </c>
      <c r="D316" s="2" t="inlineStr">
        <is>
          <t>https://tse1.mm.bing.net/th?q=Speedlights%20Yongnuo%20685</t>
        </is>
      </c>
      <c r="E316" s="2" t="inlineStr">
        <is>
          <t>https://gripsfilmsrentals.com/product/speedlights-yongnuo-685/</t>
        </is>
      </c>
      <c r="F316" s="2" t="inlineStr">
        <is>
          <t>https://gripsfilmsrentals.com/shop/</t>
        </is>
      </c>
      <c r="G316" s="8" t="inlineStr">
        <is>
          <t>Lights</t>
        </is>
      </c>
      <c r="H316" s="8" t="inlineStr">
        <is>
          <t>Speedlights</t>
        </is>
      </c>
      <c r="I316" s="8" t="inlineStr"/>
      <c r="J316" s="9" t="inlineStr"/>
    </row>
    <row r="317" ht="125" customHeight="1">
      <c r="A317" s="2" t="inlineStr">
        <is>
          <t>Speedlights Godox V860 II</t>
        </is>
      </c>
      <c r="B317" s="3" t="n">
        <v>700</v>
      </c>
      <c r="C317" s="4">
        <f>IMAGE("https://tse1.mm.bing.net/th?q=Speedlights%20Godox%20V860%20II", "Speedlights Godox V860 II", 3, 120, 120)</f>
        <v/>
      </c>
      <c r="D317" s="2" t="inlineStr">
        <is>
          <t>https://tse1.mm.bing.net/th?q=Speedlights%20Godox%20V860%20II</t>
        </is>
      </c>
      <c r="E317" s="2" t="inlineStr">
        <is>
          <t>https://gripsfilmsrentals.com/product/speedlights-godox-v860-ii/</t>
        </is>
      </c>
      <c r="F317" s="2" t="inlineStr">
        <is>
          <t>https://gripsfilmsrentals.com/shop/</t>
        </is>
      </c>
      <c r="G317" s="8" t="inlineStr">
        <is>
          <t>Lights</t>
        </is>
      </c>
      <c r="H317" s="8" t="inlineStr">
        <is>
          <t>Speedlights</t>
        </is>
      </c>
      <c r="I317" s="8" t="inlineStr">
        <is>
          <t>Godox</t>
        </is>
      </c>
      <c r="J317" s="9" t="inlineStr"/>
    </row>
    <row r="318" ht="125" customHeight="1">
      <c r="A318" s="2" t="inlineStr">
        <is>
          <t>Speedlights Yongnuo III</t>
        </is>
      </c>
      <c r="B318" s="3" t="n">
        <v>500</v>
      </c>
      <c r="C318" s="4">
        <f>IMAGE("https://tse1.mm.bing.net/th?q=Speedlights%20Yongnuo%20III", "Speedlights Yongnuo III", 3, 120, 120)</f>
        <v/>
      </c>
      <c r="D318" s="2" t="inlineStr">
        <is>
          <t>https://tse1.mm.bing.net/th?q=Speedlights%20Yongnuo%20III</t>
        </is>
      </c>
      <c r="E318" s="2" t="inlineStr">
        <is>
          <t>https://gripsfilmsrentals.com/product/speedlights-yongnuo-iii/</t>
        </is>
      </c>
      <c r="F318" s="2" t="inlineStr">
        <is>
          <t>https://gripsfilmsrentals.com/shop/</t>
        </is>
      </c>
      <c r="G318" s="8" t="inlineStr">
        <is>
          <t>Lights</t>
        </is>
      </c>
      <c r="H318" s="8" t="inlineStr">
        <is>
          <t>Speedlights</t>
        </is>
      </c>
      <c r="I318" s="8" t="inlineStr"/>
      <c r="J318" s="9" t="inlineStr"/>
    </row>
    <row r="319" ht="125" customHeight="1">
      <c r="A319" s="2" t="inlineStr">
        <is>
          <t>Speedlights Yongnuo IV</t>
        </is>
      </c>
      <c r="B319" s="3" t="n">
        <v>500</v>
      </c>
      <c r="C319" s="4">
        <f>IMAGE("https://tse1.mm.bing.net/th?q=Speedlights%20Yongnuo%20IV", "Speedlights Yongnuo IV", 3, 120, 120)</f>
        <v/>
      </c>
      <c r="D319" s="2" t="inlineStr">
        <is>
          <t>https://tse1.mm.bing.net/th?q=Speedlights%20Yongnuo%20IV</t>
        </is>
      </c>
      <c r="E319" s="2" t="inlineStr">
        <is>
          <t>https://gripsfilmsrentals.com/product/speedlights-yongnuo-iv/</t>
        </is>
      </c>
      <c r="F319" s="2" t="inlineStr">
        <is>
          <t>https://gripsfilmsrentals.com/shop/</t>
        </is>
      </c>
      <c r="G319" s="8" t="inlineStr">
        <is>
          <t>Lights</t>
        </is>
      </c>
      <c r="H319" s="8" t="inlineStr">
        <is>
          <t>Speedlights</t>
        </is>
      </c>
      <c r="I319" s="8" t="inlineStr"/>
      <c r="J319" s="9" t="inlineStr"/>
    </row>
    <row r="320" ht="125" customHeight="1">
      <c r="A320" s="2" t="inlineStr">
        <is>
          <t>Strobe Lights Godox AD200 Pro</t>
        </is>
      </c>
      <c r="B320" s="3" t="n">
        <v>1000</v>
      </c>
      <c r="C320" s="4">
        <f>IMAGE("https://tse1.mm.bing.net/th?q=Strobe%20Lights%20Godox%20AD200%20Pro", "Strobe Lights Godox AD200 Pro", 3, 120, 120)</f>
        <v/>
      </c>
      <c r="D320" s="2" t="inlineStr">
        <is>
          <t>https://tse1.mm.bing.net/th?q=Strobe%20Lights%20Godox%20AD200%20Pro</t>
        </is>
      </c>
      <c r="E320" s="2" t="inlineStr">
        <is>
          <t>https://gripsfilmsrentals.com/product/strobe-lights-godox-ad200-pro/</t>
        </is>
      </c>
      <c r="F320" s="2" t="inlineStr">
        <is>
          <t>https://gripsfilmsrentals.com/shop/</t>
        </is>
      </c>
      <c r="G320" s="8" t="inlineStr">
        <is>
          <t>Lights</t>
        </is>
      </c>
      <c r="H320" s="8" t="inlineStr">
        <is>
          <t>Strobe Lights</t>
        </is>
      </c>
      <c r="I320" s="8" t="inlineStr">
        <is>
          <t>Godox</t>
        </is>
      </c>
      <c r="J320" s="9" t="inlineStr"/>
    </row>
    <row r="321" ht="125" customHeight="1">
      <c r="A321" s="2" t="inlineStr">
        <is>
          <t>Strobe Lights Godox AD600 BM</t>
        </is>
      </c>
      <c r="B321" s="3" t="n">
        <v>1500</v>
      </c>
      <c r="C321" s="4">
        <f>IMAGE("https://tse1.mm.bing.net/th?q=Strobe%20Lights%20Godox%20AD600%20BM", "Strobe Lights Godox AD600 BM", 3, 120, 120)</f>
        <v/>
      </c>
      <c r="D321" s="2" t="inlineStr">
        <is>
          <t>https://tse1.mm.bing.net/th?q=Strobe%20Lights%20Godox%20AD600%20BM</t>
        </is>
      </c>
      <c r="E321" s="2" t="inlineStr">
        <is>
          <t>https://gripsfilmsrentals.com/product/strobe-lights-godox-ad600-bm/</t>
        </is>
      </c>
      <c r="F321" s="2" t="inlineStr">
        <is>
          <t>https://gripsfilmsrentals.com/shop/</t>
        </is>
      </c>
      <c r="G321" s="8" t="inlineStr">
        <is>
          <t>Lights</t>
        </is>
      </c>
      <c r="H321" s="8" t="inlineStr">
        <is>
          <t>Strobe Lights</t>
        </is>
      </c>
      <c r="I321" s="8" t="inlineStr">
        <is>
          <t>Godox</t>
        </is>
      </c>
      <c r="J321" s="9" t="inlineStr"/>
    </row>
    <row r="322" ht="125" customHeight="1">
      <c r="A322" s="2" t="inlineStr">
        <is>
          <t>Strobe Lights Godox AD600 B</t>
        </is>
      </c>
      <c r="B322" s="3" t="n">
        <v>1500</v>
      </c>
      <c r="C322" s="4">
        <f>IMAGE("https://tse1.mm.bing.net/th?q=Strobe%20Lights%20Godox%20AD600%20B", "Strobe Lights Godox AD600 B", 3, 120, 120)</f>
        <v/>
      </c>
      <c r="D322" s="2" t="inlineStr">
        <is>
          <t>https://tse1.mm.bing.net/th?q=Strobe%20Lights%20Godox%20AD600%20B</t>
        </is>
      </c>
      <c r="E322" s="2" t="inlineStr">
        <is>
          <t>https://gripsfilmsrentals.com/product/strobe-lights-godox-ad600-b/</t>
        </is>
      </c>
      <c r="F322" s="2" t="inlineStr">
        <is>
          <t>https://gripsfilmsrentals.com/shop/</t>
        </is>
      </c>
      <c r="G322" s="8" t="inlineStr">
        <is>
          <t>Lights</t>
        </is>
      </c>
      <c r="H322" s="8" t="inlineStr">
        <is>
          <t>Strobe Lights</t>
        </is>
      </c>
      <c r="I322" s="8" t="inlineStr">
        <is>
          <t>Godox</t>
        </is>
      </c>
      <c r="J322" s="9" t="inlineStr"/>
    </row>
    <row r="323" ht="125" customHeight="1">
      <c r="A323" s="2" t="inlineStr">
        <is>
          <t>Strobe Lights Godox AD600 Pro</t>
        </is>
      </c>
      <c r="B323" s="3" t="n">
        <v>1500</v>
      </c>
      <c r="C323" s="4">
        <f>IMAGE("https://tse1.mm.bing.net/th?q=Strobe%20Lights%20Godox%20AD600%20Pro", "Strobe Lights Godox AD600 Pro", 3, 120, 120)</f>
        <v/>
      </c>
      <c r="D323" s="2" t="inlineStr">
        <is>
          <t>https://tse1.mm.bing.net/th?q=Strobe%20Lights%20Godox%20AD600%20Pro</t>
        </is>
      </c>
      <c r="E323" s="2" t="inlineStr">
        <is>
          <t>https://gripsfilmsrentals.com/product/strobe-lights-godox-ad600-pro/</t>
        </is>
      </c>
      <c r="F323" s="2" t="inlineStr">
        <is>
          <t>https://gripsfilmsrentals.com/shop/</t>
        </is>
      </c>
      <c r="G323" s="8" t="inlineStr">
        <is>
          <t>Lights</t>
        </is>
      </c>
      <c r="H323" s="8" t="inlineStr">
        <is>
          <t>Strobe Lights</t>
        </is>
      </c>
      <c r="I323" s="8" t="inlineStr">
        <is>
          <t>Godox</t>
        </is>
      </c>
      <c r="J323" s="9" t="inlineStr"/>
    </row>
    <row r="324" ht="125" customHeight="1">
      <c r="A324" s="2" t="inlineStr">
        <is>
          <t>Effect Lights Moving Head (disco)</t>
        </is>
      </c>
      <c r="B324" s="3" t="n">
        <v>3500</v>
      </c>
      <c r="C324" s="4">
        <f>IMAGE("https://tse1.mm.bing.net/th?q=Effect%20Lights%20Moving%20Head%20%28disco%29", "Effect Lights Moving Head (disco)", 3, 120, 120)</f>
        <v/>
      </c>
      <c r="D324" s="2" t="inlineStr">
        <is>
          <t>https://tse1.mm.bing.net/th?q=Effect%20Lights%20Moving%20Head%20%28disco%29</t>
        </is>
      </c>
      <c r="E324" s="2" t="inlineStr">
        <is>
          <t>https://gripsfilmsrentals.com/product/effect-lights-moving-head-disco/</t>
        </is>
      </c>
      <c r="F324" s="2" t="inlineStr">
        <is>
          <t>https://gripsfilmsrentals.com/shop/</t>
        </is>
      </c>
      <c r="G324" s="8" t="inlineStr">
        <is>
          <t>Lights</t>
        </is>
      </c>
      <c r="H324" s="8" t="inlineStr">
        <is>
          <t>Effect Lights</t>
        </is>
      </c>
      <c r="I324" s="8" t="inlineStr"/>
      <c r="J324" s="9" t="inlineStr"/>
    </row>
    <row r="325" ht="125" customHeight="1">
      <c r="A325" s="2" t="inlineStr">
        <is>
          <t>Effect Lights Moving Head (par can)</t>
        </is>
      </c>
      <c r="B325" s="3" t="n">
        <v>1000</v>
      </c>
      <c r="C325" s="4">
        <f>IMAGE("https://tse1.mm.bing.net/th?q=Effect%20Lights%20Moving%20Head%20%28par%20can%29", "Effect Lights Moving Head (par can)", 3, 120, 120)</f>
        <v/>
      </c>
      <c r="D325" s="2" t="inlineStr">
        <is>
          <t>https://tse1.mm.bing.net/th?q=Effect%20Lights%20Moving%20Head%20%28par%20can%29</t>
        </is>
      </c>
      <c r="E325" s="2" t="inlineStr">
        <is>
          <t>https://gripsfilmsrentals.com/product/effect-lights-moving-head-par-can/</t>
        </is>
      </c>
      <c r="F325" s="2" t="inlineStr">
        <is>
          <t>https://gripsfilmsrentals.com/shop/</t>
        </is>
      </c>
      <c r="G325" s="8" t="inlineStr">
        <is>
          <t>Lights</t>
        </is>
      </c>
      <c r="H325" s="8" t="inlineStr">
        <is>
          <t>Effect Lights</t>
        </is>
      </c>
      <c r="I325" s="8" t="inlineStr"/>
      <c r="J325" s="9" t="inlineStr"/>
    </row>
    <row r="326" ht="125" customHeight="1">
      <c r="A326" s="2" t="inlineStr">
        <is>
          <t>Effect Lights Moving Head (beam 230)</t>
        </is>
      </c>
      <c r="B326" s="3" t="n">
        <v>4500</v>
      </c>
      <c r="C326" s="4">
        <f>IMAGE("https://tse1.mm.bing.net/th?q=Effect%20Lights%20Moving%20Head%20%28beam%20230%29", "Effect Lights Moving Head (beam 230)", 3, 120, 120)</f>
        <v/>
      </c>
      <c r="D326" s="2" t="inlineStr">
        <is>
          <t>https://tse1.mm.bing.net/th?q=Effect%20Lights%20Moving%20Head%20%28beam%20230%29</t>
        </is>
      </c>
      <c r="E326" s="2" t="inlineStr">
        <is>
          <t>https://gripsfilmsrentals.com/product/effect-lights-moving-head-beam-230/</t>
        </is>
      </c>
      <c r="F326" s="2" t="inlineStr">
        <is>
          <t>https://gripsfilmsrentals.com/shop/</t>
        </is>
      </c>
      <c r="G326" s="8" t="inlineStr">
        <is>
          <t>Lights</t>
        </is>
      </c>
      <c r="H326" s="8" t="inlineStr">
        <is>
          <t>Effect Lights</t>
        </is>
      </c>
      <c r="I326" s="8" t="inlineStr"/>
      <c r="J326" s="9" t="inlineStr"/>
    </row>
    <row r="327" ht="125" customHeight="1">
      <c r="A327" s="2" t="inlineStr">
        <is>
          <t>Tungsten Lights Arri (2000W)</t>
        </is>
      </c>
      <c r="B327" s="3" t="n">
        <v>2000</v>
      </c>
      <c r="C327" s="4">
        <f>IMAGE("https://tse1.mm.bing.net/th?q=Tungsten%20Lights%20Arri%20%282000W%29", "Tungsten Lights Arri (2000W)", 3, 120, 120)</f>
        <v/>
      </c>
      <c r="D327" s="2" t="inlineStr">
        <is>
          <t>https://tse1.mm.bing.net/th?q=Tungsten%20Lights%20Arri%20%282000W%29</t>
        </is>
      </c>
      <c r="E327" s="2" t="inlineStr">
        <is>
          <t>https://gripsfilmsrentals.com/product/tungsten-lights-arri-2000w/</t>
        </is>
      </c>
      <c r="F327" s="2" t="inlineStr">
        <is>
          <t>https://gripsfilmsrentals.com/shop/</t>
        </is>
      </c>
      <c r="G327" s="8" t="inlineStr">
        <is>
          <t>Lights</t>
        </is>
      </c>
      <c r="H327" s="8" t="inlineStr">
        <is>
          <t>Tungsten</t>
        </is>
      </c>
      <c r="I327" s="8" t="inlineStr">
        <is>
          <t>ARRI</t>
        </is>
      </c>
      <c r="J327" s="9" t="inlineStr">
        <is>
          <t>2000W</t>
        </is>
      </c>
    </row>
    <row r="328" ht="125" customHeight="1">
      <c r="A328" s="2" t="inlineStr">
        <is>
          <t>Tungsten Lights Arri (1000W)</t>
        </is>
      </c>
      <c r="B328" s="3" t="n">
        <v>1500</v>
      </c>
      <c r="C328" s="4">
        <f>IMAGE("https://tse1.mm.bing.net/th?q=Tungsten%20Lights%20Arri%20%281000W%29", "Tungsten Lights Arri (1000W)", 3, 120, 120)</f>
        <v/>
      </c>
      <c r="D328" s="2" t="inlineStr">
        <is>
          <t>https://tse1.mm.bing.net/th?q=Tungsten%20Lights%20Arri%20%281000W%29</t>
        </is>
      </c>
      <c r="E328" s="2" t="inlineStr">
        <is>
          <t>https://gripsfilmsrentals.com/product/tungsten-lights-arri-1000w/</t>
        </is>
      </c>
      <c r="F328" s="2" t="inlineStr">
        <is>
          <t>https://gripsfilmsrentals.com/shop/</t>
        </is>
      </c>
      <c r="G328" s="8" t="inlineStr">
        <is>
          <t>Lights</t>
        </is>
      </c>
      <c r="H328" s="8" t="inlineStr">
        <is>
          <t>Tungsten</t>
        </is>
      </c>
      <c r="I328" s="8" t="inlineStr">
        <is>
          <t>ARRI</t>
        </is>
      </c>
      <c r="J328" s="9" t="inlineStr">
        <is>
          <t>1000W</t>
        </is>
      </c>
    </row>
    <row r="329" ht="125" customHeight="1">
      <c r="A329" s="2" t="inlineStr">
        <is>
          <t>Tungsten Lights Arri (800W)</t>
        </is>
      </c>
      <c r="B329" s="3" t="n">
        <v>1000</v>
      </c>
      <c r="C329" s="4">
        <f>IMAGE("https://tse1.mm.bing.net/th?q=Tungsten%20Lights%20Arri%20%28800W%29", "Tungsten Lights Arri (800W)", 3, 120, 120)</f>
        <v/>
      </c>
      <c r="D329" s="2" t="inlineStr">
        <is>
          <t>https://tse1.mm.bing.net/th?q=Tungsten%20Lights%20Arri%20%28800W%29</t>
        </is>
      </c>
      <c r="E329" s="2" t="inlineStr">
        <is>
          <t>https://gripsfilmsrentals.com/product/tungsten-lights-arri-800w/</t>
        </is>
      </c>
      <c r="F329" s="2" t="inlineStr">
        <is>
          <t>https://gripsfilmsrentals.com/shop/</t>
        </is>
      </c>
      <c r="G329" s="8" t="inlineStr">
        <is>
          <t>Lights</t>
        </is>
      </c>
      <c r="H329" s="8" t="inlineStr">
        <is>
          <t>Tungsten</t>
        </is>
      </c>
      <c r="I329" s="8" t="inlineStr">
        <is>
          <t>ARRI</t>
        </is>
      </c>
      <c r="J329" s="9" t="inlineStr">
        <is>
          <t>800W</t>
        </is>
      </c>
    </row>
    <row r="330" ht="125" customHeight="1">
      <c r="A330" s="2" t="inlineStr">
        <is>
          <t>4Bank Kino Flo</t>
        </is>
      </c>
      <c r="B330" s="3" t="n">
        <v>1500</v>
      </c>
      <c r="C330" s="4">
        <f>IMAGE("https://tse1.mm.bing.net/th?q=4Bank%20Kino%20Flo", "4Bank Kino Flo", 3, 120, 120)</f>
        <v/>
      </c>
      <c r="D330" s="2" t="inlineStr">
        <is>
          <t>https://tse1.mm.bing.net/th?q=4Bank%20Kino%20Flo</t>
        </is>
      </c>
      <c r="E330" s="2" t="inlineStr">
        <is>
          <t>https://gripsfilmsrentals.com/product/4bank-kino-flo/</t>
        </is>
      </c>
      <c r="F330" s="2" t="inlineStr">
        <is>
          <t>https://gripsfilmsrentals.com/shop/</t>
        </is>
      </c>
      <c r="G330" s="8" t="inlineStr">
        <is>
          <t>Lights</t>
        </is>
      </c>
      <c r="H330" s="8" t="inlineStr">
        <is>
          <t>Flourescent Lights</t>
        </is>
      </c>
      <c r="I330" s="8" t="inlineStr">
        <is>
          <t>Kino Flo</t>
        </is>
      </c>
      <c r="J330" s="9" t="inlineStr"/>
    </row>
    <row r="331" ht="125" customHeight="1">
      <c r="A331" s="2" t="inlineStr">
        <is>
          <t>Aputure Light (300D II)</t>
        </is>
      </c>
      <c r="B331" s="3" t="n">
        <v>2500</v>
      </c>
      <c r="C331" s="4">
        <f>IMAGE("https://tse1.mm.bing.net/th?q=Aputure%20Light%20%28300D%20II%29", "Aputure Light (300D II)", 3, 120, 120)</f>
        <v/>
      </c>
      <c r="D331" s="2" t="inlineStr">
        <is>
          <t>https://tse1.mm.bing.net/th?q=Aputure%20Light%20%28300D%20II%29</t>
        </is>
      </c>
      <c r="E331" s="2" t="inlineStr">
        <is>
          <t>https://gripsfilmsrentals.com/product/aputure-light-300d-ii/</t>
        </is>
      </c>
      <c r="F331" s="2" t="inlineStr">
        <is>
          <t>https://gripsfilmsrentals.com/shop/</t>
        </is>
      </c>
      <c r="G331" s="8" t="inlineStr">
        <is>
          <t>Lights</t>
        </is>
      </c>
      <c r="H331" s="8" t="inlineStr">
        <is>
          <t>Continous lights</t>
        </is>
      </c>
      <c r="I331" s="8" t="inlineStr">
        <is>
          <t>Aputure</t>
        </is>
      </c>
      <c r="J331" s="9" t="inlineStr"/>
    </row>
    <row r="332" ht="125" customHeight="1">
      <c r="A332" s="2" t="inlineStr">
        <is>
          <t>LED Panel</t>
        </is>
      </c>
      <c r="B332" s="3" t="n">
        <v>1500</v>
      </c>
      <c r="C332" s="4">
        <f>IMAGE("https://tse1.mm.bing.net/th?q=LED%20Panel", "LED Panel", 3, 120, 120)</f>
        <v/>
      </c>
      <c r="D332" s="2" t="inlineStr">
        <is>
          <t>https://tse1.mm.bing.net/th?q=LED%20Panel</t>
        </is>
      </c>
      <c r="E332" s="2" t="inlineStr">
        <is>
          <t>https://gripsfilmsrentals.com/product/led-panel/</t>
        </is>
      </c>
      <c r="F332" s="2" t="inlineStr">
        <is>
          <t>https://gripsfilmsrentals.com/shop/</t>
        </is>
      </c>
      <c r="G332" s="8" t="inlineStr">
        <is>
          <t>Lights</t>
        </is>
      </c>
      <c r="H332" s="8" t="inlineStr">
        <is>
          <t>Continous lights</t>
        </is>
      </c>
      <c r="I332" s="8" t="inlineStr"/>
      <c r="J332" s="9" t="inlineStr"/>
    </row>
    <row r="333" ht="125" customHeight="1">
      <c r="A333" s="2" t="inlineStr">
        <is>
          <t>Sony 85mm (1.4)</t>
        </is>
      </c>
      <c r="B333" s="3" t="n">
        <v>2000</v>
      </c>
      <c r="C333" s="4">
        <f>IMAGE("https://tse1.mm.bing.net/th?q=Sony%2085mm%20%281.4%29", "Sony 85mm (1.4)", 3, 120, 120)</f>
        <v/>
      </c>
      <c r="D333" s="2" t="inlineStr">
        <is>
          <t>https://tse1.mm.bing.net/th?q=Sony%2085mm%20%281.4%29</t>
        </is>
      </c>
      <c r="E333" s="2" t="inlineStr">
        <is>
          <t>https://gripsfilmsrentals.com/product/sony-85mm-1-4/</t>
        </is>
      </c>
      <c r="F333" s="2" t="inlineStr">
        <is>
          <t>https://gripsfilmsrentals.com/shop/</t>
        </is>
      </c>
      <c r="G333" s="8" t="inlineStr">
        <is>
          <t>Lenses</t>
        </is>
      </c>
      <c r="H333" s="8" t="inlineStr">
        <is>
          <t>Sony</t>
        </is>
      </c>
      <c r="I333" s="8" t="inlineStr">
        <is>
          <t>Sony</t>
        </is>
      </c>
      <c r="J333" s="9" t="inlineStr">
        <is>
          <t>85mm</t>
        </is>
      </c>
    </row>
    <row r="334" ht="125" customHeight="1">
      <c r="A334" s="2" t="inlineStr">
        <is>
          <t>Sony 50mm (1.2)</t>
        </is>
      </c>
      <c r="B334" s="3" t="n">
        <v>2000</v>
      </c>
      <c r="C334" s="4">
        <f>IMAGE("https://tse1.mm.bing.net/th?q=Sony%2050mm%20%281.2%29", "Sony 50mm (1.2)", 3, 120, 120)</f>
        <v/>
      </c>
      <c r="D334" s="2" t="inlineStr">
        <is>
          <t>https://tse1.mm.bing.net/th?q=Sony%2050mm%20%281.2%29</t>
        </is>
      </c>
      <c r="E334" s="2" t="inlineStr">
        <is>
          <t>https://gripsfilmsrentals.com/product/sony-50mm-1-2/</t>
        </is>
      </c>
      <c r="F334" s="2" t="inlineStr">
        <is>
          <t>https://gripsfilmsrentals.com/shop/</t>
        </is>
      </c>
      <c r="G334" s="8" t="inlineStr">
        <is>
          <t>Lenses</t>
        </is>
      </c>
      <c r="H334" s="8" t="inlineStr">
        <is>
          <t>Sony</t>
        </is>
      </c>
      <c r="I334" s="8" t="inlineStr">
        <is>
          <t>Sony</t>
        </is>
      </c>
      <c r="J334" s="9" t="inlineStr">
        <is>
          <t>50mm</t>
        </is>
      </c>
    </row>
    <row r="335" ht="125" customHeight="1">
      <c r="A335" s="2" t="inlineStr">
        <is>
          <t>Sony 24-70mm (G 2.8)</t>
        </is>
      </c>
      <c r="B335" s="3" t="n">
        <v>2000</v>
      </c>
      <c r="C335" s="4">
        <f>IMAGE("https://tse1.mm.bing.net/th?q=Sony%2024-70mm%20%28G%202.8%29", "Sony 24-70mm (G 2.8)", 3, 120, 120)</f>
        <v/>
      </c>
      <c r="D335" s="2" t="inlineStr">
        <is>
          <t>https://tse1.mm.bing.net/th?q=Sony%2024-70mm%20%28G%202.8%29</t>
        </is>
      </c>
      <c r="E335" s="2" t="inlineStr">
        <is>
          <t>https://gripsfilmsrentals.com/product/sony-24-70mm-g-2-8/</t>
        </is>
      </c>
      <c r="F335" s="2" t="inlineStr">
        <is>
          <t>https://gripsfilmsrentals.com/shop/</t>
        </is>
      </c>
      <c r="G335" s="8" t="inlineStr">
        <is>
          <t>Lenses</t>
        </is>
      </c>
      <c r="H335" s="8" t="inlineStr">
        <is>
          <t>Sony</t>
        </is>
      </c>
      <c r="I335" s="8" t="inlineStr">
        <is>
          <t>Sony</t>
        </is>
      </c>
      <c r="J335" s="9" t="inlineStr">
        <is>
          <t>24-70mm</t>
        </is>
      </c>
    </row>
    <row r="336" ht="125" customHeight="1">
      <c r="A336" s="2" t="inlineStr">
        <is>
          <t>Sony 16-35mm (G 2.8)</t>
        </is>
      </c>
      <c r="B336" s="3" t="n">
        <v>2000</v>
      </c>
      <c r="C336" s="4">
        <f>IMAGE("https://tse1.mm.bing.net/th?q=Sony%2016-35mm%20%28G%202.8%29", "Sony 16-35mm (G 2.8)", 3, 120, 120)</f>
        <v/>
      </c>
      <c r="D336" s="2" t="inlineStr">
        <is>
          <t>https://tse1.mm.bing.net/th?q=Sony%2016-35mm%20%28G%202.8%29</t>
        </is>
      </c>
      <c r="E336" s="2" t="inlineStr">
        <is>
          <t>https://gripsfilmsrentals.com/product/sony-16-35mm-g-2-8/</t>
        </is>
      </c>
      <c r="F336" s="2" t="inlineStr">
        <is>
          <t>https://gripsfilmsrentals.com/shop/</t>
        </is>
      </c>
      <c r="G336" s="8" t="inlineStr">
        <is>
          <t>Lenses</t>
        </is>
      </c>
      <c r="H336" s="8" t="inlineStr">
        <is>
          <t>Sony</t>
        </is>
      </c>
      <c r="I336" s="8" t="inlineStr">
        <is>
          <t>Sony</t>
        </is>
      </c>
      <c r="J336" s="9" t="inlineStr">
        <is>
          <t>16-35mm</t>
        </is>
      </c>
    </row>
    <row r="337" ht="125" customHeight="1">
      <c r="A337" s="2" t="inlineStr">
        <is>
          <t>Nikon 105mm Macro (2.8)</t>
        </is>
      </c>
      <c r="B337" s="3" t="n">
        <v>2000</v>
      </c>
      <c r="C337" s="4">
        <f>IMAGE("https://tse1.mm.bing.net/th?q=Nikon%20105mm%20Macro%20%282.8%29", "Nikon 105mm Macro (2.8)", 3, 120, 120)</f>
        <v/>
      </c>
      <c r="D337" s="2" t="inlineStr">
        <is>
          <t>https://tse1.mm.bing.net/th?q=Nikon%20105mm%20Macro%20%282.8%29</t>
        </is>
      </c>
      <c r="E337" s="2" t="inlineStr">
        <is>
          <t>https://gripsfilmsrentals.com/product/nikon-105mm-macro-2-8/</t>
        </is>
      </c>
      <c r="F337" s="2" t="inlineStr">
        <is>
          <t>https://gripsfilmsrentals.com/shop/</t>
        </is>
      </c>
      <c r="G337" s="8" t="inlineStr">
        <is>
          <t>Lenses</t>
        </is>
      </c>
      <c r="H337" s="8" t="inlineStr">
        <is>
          <t>Nikon</t>
        </is>
      </c>
      <c r="I337" s="8" t="inlineStr">
        <is>
          <t>Nikon</t>
        </is>
      </c>
      <c r="J337" s="9" t="inlineStr">
        <is>
          <t>105mm, Macro</t>
        </is>
      </c>
    </row>
    <row r="338" ht="125" customHeight="1">
      <c r="A338" s="2" t="inlineStr">
        <is>
          <t>Nikon 24mm (1.4)</t>
        </is>
      </c>
      <c r="B338" s="3" t="n">
        <v>1500</v>
      </c>
      <c r="C338" s="4">
        <f>IMAGE("https://tse1.mm.bing.net/th?q=Nikon%2024mm%20%281.4%29", "Nikon 24mm (1.4)", 3, 120, 120)</f>
        <v/>
      </c>
      <c r="D338" s="2" t="inlineStr">
        <is>
          <t>https://tse1.mm.bing.net/th?q=Nikon%2024mm%20%281.4%29</t>
        </is>
      </c>
      <c r="E338" s="2" t="inlineStr">
        <is>
          <t>https://gripsfilmsrentals.com/product/nikon-24mm-1-4/</t>
        </is>
      </c>
      <c r="F338" s="2" t="inlineStr">
        <is>
          <t>https://gripsfilmsrentals.com/shop/</t>
        </is>
      </c>
      <c r="G338" s="8" t="inlineStr">
        <is>
          <t>Lenses</t>
        </is>
      </c>
      <c r="H338" s="8" t="inlineStr">
        <is>
          <t>Nikon</t>
        </is>
      </c>
      <c r="I338" s="8" t="inlineStr">
        <is>
          <t>Nikon</t>
        </is>
      </c>
      <c r="J338" s="9" t="inlineStr">
        <is>
          <t>24mm</t>
        </is>
      </c>
    </row>
    <row r="339" ht="125" customHeight="1">
      <c r="A339" s="2" t="inlineStr">
        <is>
          <t>Nikon 35mm (1.4)</t>
        </is>
      </c>
      <c r="B339" s="3" t="n">
        <v>1500</v>
      </c>
      <c r="C339" s="4">
        <f>IMAGE("https://tse1.mm.bing.net/th?q=Nikon%2035mm%20%281.4%29", "Nikon 35mm (1.4)", 3, 120, 120)</f>
        <v/>
      </c>
      <c r="D339" s="2" t="inlineStr">
        <is>
          <t>https://tse1.mm.bing.net/th?q=Nikon%2035mm%20%281.4%29</t>
        </is>
      </c>
      <c r="E339" s="2" t="inlineStr">
        <is>
          <t>https://gripsfilmsrentals.com/product/nikon-35mm-1-4/</t>
        </is>
      </c>
      <c r="F339" s="2" t="inlineStr">
        <is>
          <t>https://gripsfilmsrentals.com/shop/</t>
        </is>
      </c>
      <c r="G339" s="8" t="inlineStr">
        <is>
          <t>Lenses</t>
        </is>
      </c>
      <c r="H339" s="8" t="inlineStr">
        <is>
          <t>Nikon</t>
        </is>
      </c>
      <c r="I339" s="8" t="inlineStr">
        <is>
          <t>Nikon</t>
        </is>
      </c>
      <c r="J339" s="9" t="inlineStr">
        <is>
          <t>35mm</t>
        </is>
      </c>
    </row>
    <row r="340" ht="125" customHeight="1">
      <c r="A340" s="2" t="inlineStr">
        <is>
          <t>Nikon 85mm (1.4)</t>
        </is>
      </c>
      <c r="B340" s="3" t="n">
        <v>1500</v>
      </c>
      <c r="C340" s="4">
        <f>IMAGE("https://tse1.mm.bing.net/th?q=Nikon%2085mm%20%281.4%29", "Nikon 85mm (1.4)", 3, 120, 120)</f>
        <v/>
      </c>
      <c r="D340" s="2" t="inlineStr">
        <is>
          <t>https://tse1.mm.bing.net/th?q=Nikon%2085mm%20%281.4%29</t>
        </is>
      </c>
      <c r="E340" s="2" t="inlineStr">
        <is>
          <t>https://gripsfilmsrentals.com/product/nikon-85mm-1-4/</t>
        </is>
      </c>
      <c r="F340" s="2" t="inlineStr">
        <is>
          <t>https://gripsfilmsrentals.com/shop/</t>
        </is>
      </c>
      <c r="G340" s="8" t="inlineStr">
        <is>
          <t>Lenses</t>
        </is>
      </c>
      <c r="H340" s="8" t="inlineStr">
        <is>
          <t>Nikon</t>
        </is>
      </c>
      <c r="I340" s="8" t="inlineStr">
        <is>
          <t>Nikon</t>
        </is>
      </c>
      <c r="J340" s="9" t="inlineStr">
        <is>
          <t>85mm</t>
        </is>
      </c>
    </row>
    <row r="341" ht="125" customHeight="1">
      <c r="A341" s="2" t="inlineStr">
        <is>
          <t>Nikon 50mm (1.4)</t>
        </is>
      </c>
      <c r="B341" s="3" t="n">
        <v>1500</v>
      </c>
      <c r="C341" s="4">
        <f>IMAGE("https://tse1.mm.bing.net/th?q=Nikon%2050mm%20%281.4%29", "Nikon 50mm (1.4)", 3, 120, 120)</f>
        <v/>
      </c>
      <c r="D341" s="2" t="inlineStr">
        <is>
          <t>https://tse1.mm.bing.net/th?q=Nikon%2050mm%20%281.4%29</t>
        </is>
      </c>
      <c r="E341" s="2" t="inlineStr">
        <is>
          <t>https://gripsfilmsrentals.com/product/nikon-50mm-1-4/</t>
        </is>
      </c>
      <c r="F341" s="2" t="inlineStr">
        <is>
          <t>https://gripsfilmsrentals.com/shop/</t>
        </is>
      </c>
      <c r="G341" s="8" t="inlineStr">
        <is>
          <t>Lenses</t>
        </is>
      </c>
      <c r="H341" s="8" t="inlineStr">
        <is>
          <t>Nikon</t>
        </is>
      </c>
      <c r="I341" s="8" t="inlineStr">
        <is>
          <t>Nikon</t>
        </is>
      </c>
      <c r="J341" s="9" t="inlineStr">
        <is>
          <t>50mm</t>
        </is>
      </c>
    </row>
    <row r="342" ht="125" customHeight="1">
      <c r="A342" s="2" t="inlineStr">
        <is>
          <t>Nikon 70-200mm (2.8)</t>
        </is>
      </c>
      <c r="B342" s="3" t="n">
        <v>2000</v>
      </c>
      <c r="C342" s="4">
        <f>IMAGE("https://tse1.mm.bing.net/th?q=Nikon%2070-200mm%20%282.8%29", "Nikon 70-200mm (2.8)", 3, 120, 120)</f>
        <v/>
      </c>
      <c r="D342" s="2" t="inlineStr">
        <is>
          <t>https://tse1.mm.bing.net/th?q=Nikon%2070-200mm%20%282.8%29</t>
        </is>
      </c>
      <c r="E342" s="2" t="inlineStr">
        <is>
          <t>https://gripsfilmsrentals.com/product/nikon-70-200mm-2-8/</t>
        </is>
      </c>
      <c r="F342" s="2" t="inlineStr">
        <is>
          <t>https://gripsfilmsrentals.com/shop/</t>
        </is>
      </c>
      <c r="G342" s="8" t="inlineStr">
        <is>
          <t>Lenses</t>
        </is>
      </c>
      <c r="H342" s="8" t="inlineStr">
        <is>
          <t>Nikon</t>
        </is>
      </c>
      <c r="I342" s="8" t="inlineStr">
        <is>
          <t>Nikon</t>
        </is>
      </c>
      <c r="J342" s="9" t="inlineStr">
        <is>
          <t>70-200mm</t>
        </is>
      </c>
    </row>
    <row r="343" ht="125" customHeight="1">
      <c r="A343" s="2" t="inlineStr">
        <is>
          <t>Nikon 8-15mm (1.4)</t>
        </is>
      </c>
      <c r="B343" s="3" t="n">
        <v>2500</v>
      </c>
      <c r="C343" s="4">
        <f>IMAGE("https://tse1.mm.bing.net/th?q=Nikon%208-15mm%20%281.4%29", "Nikon 8-15mm (1.4)", 3, 120, 120)</f>
        <v/>
      </c>
      <c r="D343" s="2" t="inlineStr">
        <is>
          <t>https://tse1.mm.bing.net/th?q=Nikon%208-15mm%20%281.4%29</t>
        </is>
      </c>
      <c r="E343" s="2" t="inlineStr">
        <is>
          <t>https://gripsfilmsrentals.com/product/nikon-8-15mm-1-4/</t>
        </is>
      </c>
      <c r="F343" s="2" t="inlineStr">
        <is>
          <t>https://gripsfilmsrentals.com/shop/</t>
        </is>
      </c>
      <c r="G343" s="8" t="inlineStr">
        <is>
          <t>Lenses</t>
        </is>
      </c>
      <c r="H343" s="8" t="inlineStr">
        <is>
          <t>Nikon</t>
        </is>
      </c>
      <c r="I343" s="8" t="inlineStr">
        <is>
          <t>Nikon</t>
        </is>
      </c>
      <c r="J343" s="9" t="inlineStr">
        <is>
          <t>8-15mm</t>
        </is>
      </c>
    </row>
    <row r="344" ht="125" customHeight="1">
      <c r="A344" s="2" t="inlineStr">
        <is>
          <t>Nikon 14-24mm (1.4)</t>
        </is>
      </c>
      <c r="B344" s="3" t="n">
        <v>2000</v>
      </c>
      <c r="C344" s="4">
        <f>IMAGE("https://tse1.mm.bing.net/th?q=Nikon%2014-24mm%20%281.4%29", "Nikon 14-24mm (1.4)", 3, 120, 120)</f>
        <v/>
      </c>
      <c r="D344" s="2" t="inlineStr">
        <is>
          <t>https://tse1.mm.bing.net/th?q=Nikon%2014-24mm%20%281.4%29</t>
        </is>
      </c>
      <c r="E344" s="2" t="inlineStr">
        <is>
          <t>https://gripsfilmsrentals.com/product/nikon-14-24mm-1-4/</t>
        </is>
      </c>
      <c r="F344" s="2" t="inlineStr">
        <is>
          <t>https://gripsfilmsrentals.com/shop/</t>
        </is>
      </c>
      <c r="G344" s="8" t="inlineStr">
        <is>
          <t>Lenses</t>
        </is>
      </c>
      <c r="H344" s="8" t="inlineStr">
        <is>
          <t>Nikon</t>
        </is>
      </c>
      <c r="I344" s="8" t="inlineStr">
        <is>
          <t>Nikon</t>
        </is>
      </c>
      <c r="J344" s="9" t="inlineStr">
        <is>
          <t>14-24mm</t>
        </is>
      </c>
    </row>
    <row r="345" ht="125" customHeight="1">
      <c r="A345" s="2" t="inlineStr">
        <is>
          <t>Nikon 24-70mm (2.8)</t>
        </is>
      </c>
      <c r="B345" s="3" t="n">
        <v>1500</v>
      </c>
      <c r="C345" s="4">
        <f>IMAGE("https://tse1.mm.bing.net/th?q=Nikon%2024-70mm%20%282.8%29", "Nikon 24-70mm (2.8)", 3, 120, 120)</f>
        <v/>
      </c>
      <c r="D345" s="2" t="inlineStr">
        <is>
          <t>https://tse1.mm.bing.net/th?q=Nikon%2024-70mm%20%282.8%29</t>
        </is>
      </c>
      <c r="E345" s="2" t="inlineStr">
        <is>
          <t>https://gripsfilmsrentals.com/product/nikon-24-70mm-2-8/</t>
        </is>
      </c>
      <c r="F345" s="2" t="inlineStr">
        <is>
          <t>https://gripsfilmsrentals.com/shop/</t>
        </is>
      </c>
      <c r="G345" s="8" t="inlineStr">
        <is>
          <t>Lenses</t>
        </is>
      </c>
      <c r="H345" s="8" t="inlineStr">
        <is>
          <t>Nikon</t>
        </is>
      </c>
      <c r="I345" s="8" t="inlineStr">
        <is>
          <t>Nikon</t>
        </is>
      </c>
      <c r="J345" s="9" t="inlineStr">
        <is>
          <t>24-70mm</t>
        </is>
      </c>
    </row>
    <row r="346" ht="125" customHeight="1">
      <c r="A346" s="2" t="inlineStr">
        <is>
          <t>Tokina opera 16-28mm f/2.8 FF Lens for Nikon F</t>
        </is>
      </c>
      <c r="B346" s="3" t="n">
        <v>1500</v>
      </c>
      <c r="C346" s="4">
        <f>IMAGE("https://tse1.mm.bing.net/th?q=Tokina%20opera%2016-28mm%20f/2.8%20FF%20Lens%20for%20Nikon%20F", "Tokina opera 16-28mm f/2.8 FF Lens for Nikon F", 3, 120, 120)</f>
        <v/>
      </c>
      <c r="D346" s="2" t="inlineStr">
        <is>
          <t>https://tse1.mm.bing.net/th?q=Tokina%20opera%2016-28mm%20f/2.8%20FF%20Lens%20for%20Nikon%20F</t>
        </is>
      </c>
      <c r="E346" s="2" t="inlineStr">
        <is>
          <t>https://gripsfilmsrentals.com/product/tokina-opera-16-28mm-f-2-8-ff-lens-for-nikon-f/</t>
        </is>
      </c>
      <c r="F346" s="2" t="inlineStr">
        <is>
          <t>https://gripsfilmsrentals.com/shop/</t>
        </is>
      </c>
      <c r="G346" s="8" t="inlineStr">
        <is>
          <t>Lenses</t>
        </is>
      </c>
      <c r="H346" s="8" t="inlineStr">
        <is>
          <t>Nikon</t>
        </is>
      </c>
      <c r="I346" s="8" t="inlineStr">
        <is>
          <t>Nikon</t>
        </is>
      </c>
      <c r="J346" s="9" t="inlineStr">
        <is>
          <t>f/2.8, 16-28mm, Nikon F</t>
        </is>
      </c>
    </row>
    <row r="347" ht="125" customHeight="1">
      <c r="A347" s="2" t="inlineStr">
        <is>
          <t>Tokina for Nikon 11-20mm (2.8)</t>
        </is>
      </c>
      <c r="B347" s="3" t="n">
        <v>1500</v>
      </c>
      <c r="C347" s="4">
        <f>IMAGE("https://tse1.mm.bing.net/th?q=Tokina%20for%20Nikon%2011-20mm%20%282.8%29", "Tokina for Nikon 11-20mm (2.8)", 3, 120, 120)</f>
        <v/>
      </c>
      <c r="D347" s="2" t="inlineStr">
        <is>
          <t>https://tse1.mm.bing.net/th?q=Tokina%20for%20Nikon%2011-20mm%20%282.8%29</t>
        </is>
      </c>
      <c r="E347" s="2" t="inlineStr">
        <is>
          <t>https://gripsfilmsrentals.com/product/tokina-for-nikon-11-20mm-2-8/</t>
        </is>
      </c>
      <c r="F347" s="2" t="inlineStr">
        <is>
          <t>https://gripsfilmsrentals.com/shop/</t>
        </is>
      </c>
      <c r="G347" s="8" t="inlineStr">
        <is>
          <t>Lenses</t>
        </is>
      </c>
      <c r="H347" s="8" t="inlineStr">
        <is>
          <t>Nikon</t>
        </is>
      </c>
      <c r="I347" s="8" t="inlineStr">
        <is>
          <t>Nikon</t>
        </is>
      </c>
      <c r="J347" s="9" t="inlineStr">
        <is>
          <t>11-20mm</t>
        </is>
      </c>
    </row>
    <row r="348" ht="125" customHeight="1">
      <c r="A348" s="2" t="inlineStr">
        <is>
          <t>Tokina opera 16-28mm f/2.8 FF Lens for Canon EF</t>
        </is>
      </c>
      <c r="B348" s="3" t="n">
        <v>1500</v>
      </c>
      <c r="C348" s="4">
        <f>IMAGE("https://tse1.mm.bing.net/th?q=Tokina%20opera%2016-28mm%20f/2.8%20FF%20Lens%20for%20Canon%20EF", "Tokina opera 16-28mm f/2.8 FF Lens for Canon EF", 3, 120, 120)</f>
        <v/>
      </c>
      <c r="D348" s="2" t="inlineStr">
        <is>
          <t>https://tse1.mm.bing.net/th?q=Tokina%20opera%2016-28mm%20f/2.8%20FF%20Lens%20for%20Canon%20EF</t>
        </is>
      </c>
      <c r="E348" s="2" t="inlineStr">
        <is>
          <t>https://gripsfilmsrentals.com/product/tokina-opera-16-28mm-f-2-8-ff-lens-for-canon-ef/</t>
        </is>
      </c>
      <c r="F348" s="2" t="inlineStr">
        <is>
          <t>https://gripsfilmsrentals.com/shop/</t>
        </is>
      </c>
      <c r="G348" s="8" t="inlineStr">
        <is>
          <t>Lenses</t>
        </is>
      </c>
      <c r="H348" s="8" t="inlineStr">
        <is>
          <t>Canon</t>
        </is>
      </c>
      <c r="I348" s="8" t="inlineStr">
        <is>
          <t>Canon</t>
        </is>
      </c>
      <c r="J348" s="9" t="inlineStr">
        <is>
          <t>f/2.8, 16-28mm, Canon EF</t>
        </is>
      </c>
    </row>
    <row r="349" ht="125" customHeight="1">
      <c r="A349" s="2" t="inlineStr">
        <is>
          <t>Sigma for Sony 85mm (1.4)</t>
        </is>
      </c>
      <c r="B349" s="3" t="n">
        <v>2000</v>
      </c>
      <c r="C349" s="4">
        <f>IMAGE("https://tse1.mm.bing.net/th?q=Sigma%20for%20Sony%2085mm%20%281.4%29", "Sigma for Sony 85mm (1.4)", 3, 120, 120)</f>
        <v/>
      </c>
      <c r="D349" s="2" t="inlineStr">
        <is>
          <t>https://tse1.mm.bing.net/th?q=Sigma%20for%20Sony%2085mm%20%281.4%29</t>
        </is>
      </c>
      <c r="E349" s="2" t="inlineStr">
        <is>
          <t>https://gripsfilmsrentals.com/product/sigma-for-sony-85mm-1-4/</t>
        </is>
      </c>
      <c r="F349" s="2" t="inlineStr">
        <is>
          <t>https://gripsfilmsrentals.com/shop/</t>
        </is>
      </c>
      <c r="G349" s="8" t="inlineStr">
        <is>
          <t>Lenses</t>
        </is>
      </c>
      <c r="H349" s="8" t="inlineStr">
        <is>
          <t>Sony</t>
        </is>
      </c>
      <c r="I349" s="8" t="inlineStr">
        <is>
          <t>Sony</t>
        </is>
      </c>
      <c r="J349" s="9" t="inlineStr">
        <is>
          <t>85mm</t>
        </is>
      </c>
    </row>
    <row r="350" ht="125" customHeight="1">
      <c r="A350" s="2" t="inlineStr">
        <is>
          <t>Sigma for Sony 50mm (1.4)</t>
        </is>
      </c>
      <c r="B350" s="3" t="n">
        <v>2000</v>
      </c>
      <c r="C350" s="4">
        <f>IMAGE("https://tse1.mm.bing.net/th?q=Sigma%20for%20Sony%2050mm%20%281.4%29", "Sigma for Sony 50mm (1.4)", 3, 120, 120)</f>
        <v/>
      </c>
      <c r="D350" s="2" t="inlineStr">
        <is>
          <t>https://tse1.mm.bing.net/th?q=Sigma%20for%20Sony%2050mm%20%281.4%29</t>
        </is>
      </c>
      <c r="E350" s="2" t="inlineStr">
        <is>
          <t>https://gripsfilmsrentals.com/product/sigma-for-sony-50mm-1-4/</t>
        </is>
      </c>
      <c r="F350" s="2" t="inlineStr">
        <is>
          <t>https://gripsfilmsrentals.com/shop/</t>
        </is>
      </c>
      <c r="G350" s="8" t="inlineStr">
        <is>
          <t>Lenses</t>
        </is>
      </c>
      <c r="H350" s="8" t="inlineStr">
        <is>
          <t>Sony</t>
        </is>
      </c>
      <c r="I350" s="8" t="inlineStr">
        <is>
          <t>Sony</t>
        </is>
      </c>
      <c r="J350" s="9" t="inlineStr">
        <is>
          <t>50mm</t>
        </is>
      </c>
    </row>
    <row r="351" ht="125" customHeight="1">
      <c r="A351" s="2" t="inlineStr">
        <is>
          <t>Sigma for Sony 30mm (1.4)</t>
        </is>
      </c>
      <c r="B351" s="3" t="n">
        <v>2000</v>
      </c>
      <c r="C351" s="4">
        <f>IMAGE("https://tse1.mm.bing.net/th?q=Sigma%20for%20Sony%2030mm%20%281.4%29", "Sigma for Sony 30mm (1.4)", 3, 120, 120)</f>
        <v/>
      </c>
      <c r="D351" s="2" t="inlineStr">
        <is>
          <t>https://tse1.mm.bing.net/th?q=Sigma%20for%20Sony%2030mm%20%281.4%29</t>
        </is>
      </c>
      <c r="E351" s="2" t="inlineStr">
        <is>
          <t>https://gripsfilmsrentals.com/product/sigma-for-sony-30mm-1-4/</t>
        </is>
      </c>
      <c r="F351" s="2" t="inlineStr">
        <is>
          <t>https://gripsfilmsrentals.com/shop/</t>
        </is>
      </c>
      <c r="G351" s="8" t="inlineStr">
        <is>
          <t>Lenses</t>
        </is>
      </c>
      <c r="H351" s="8" t="inlineStr">
        <is>
          <t>Sony</t>
        </is>
      </c>
      <c r="I351" s="8" t="inlineStr">
        <is>
          <t>Sony</t>
        </is>
      </c>
      <c r="J351" s="9" t="inlineStr">
        <is>
          <t>30mm</t>
        </is>
      </c>
    </row>
    <row r="352" ht="125" customHeight="1">
      <c r="A352" s="2" t="inlineStr">
        <is>
          <t>Sigma for Sony 35mm (1.4)</t>
        </is>
      </c>
      <c r="B352" s="3" t="n">
        <v>2000</v>
      </c>
      <c r="C352" s="4">
        <f>IMAGE("https://tse1.mm.bing.net/th?q=Sigma%20for%20Sony%2035mm%20%281.4%29", "Sigma for Sony 35mm (1.4)", 3, 120, 120)</f>
        <v/>
      </c>
      <c r="D352" s="2" t="inlineStr">
        <is>
          <t>https://tse1.mm.bing.net/th?q=Sigma%20for%20Sony%2035mm%20%281.4%29</t>
        </is>
      </c>
      <c r="E352" s="2" t="inlineStr">
        <is>
          <t>https://gripsfilmsrentals.com/product/sigma-for-sony-35mm-1-4/</t>
        </is>
      </c>
      <c r="F352" s="2" t="inlineStr">
        <is>
          <t>https://gripsfilmsrentals.com/shop/</t>
        </is>
      </c>
      <c r="G352" s="8" t="inlineStr">
        <is>
          <t>Lenses</t>
        </is>
      </c>
      <c r="H352" s="8" t="inlineStr">
        <is>
          <t>Sony</t>
        </is>
      </c>
      <c r="I352" s="8" t="inlineStr">
        <is>
          <t>Sony</t>
        </is>
      </c>
      <c r="J352" s="9" t="inlineStr">
        <is>
          <t>35mm</t>
        </is>
      </c>
    </row>
    <row r="353" ht="125" customHeight="1">
      <c r="A353" s="2" t="inlineStr">
        <is>
          <t>Sigma for Nikon 85mm (1.4)</t>
        </is>
      </c>
      <c r="B353" s="3" t="n">
        <v>1500</v>
      </c>
      <c r="C353" s="4">
        <f>IMAGE("https://tse1.mm.bing.net/th?q=Sigma%20for%20Nikon%2085mm%20%281.4%29", "Sigma for Nikon 85mm (1.4)", 3, 120, 120)</f>
        <v/>
      </c>
      <c r="D353" s="2" t="inlineStr">
        <is>
          <t>https://tse1.mm.bing.net/th?q=Sigma%20for%20Nikon%2085mm%20%281.4%29</t>
        </is>
      </c>
      <c r="E353" s="2" t="inlineStr">
        <is>
          <t>https://gripsfilmsrentals.com/product/sigma-for-nikon-85mm-1-4/</t>
        </is>
      </c>
      <c r="F353" s="2" t="inlineStr">
        <is>
          <t>https://gripsfilmsrentals.com/shop/</t>
        </is>
      </c>
      <c r="G353" s="8" t="inlineStr">
        <is>
          <t>Lenses</t>
        </is>
      </c>
      <c r="H353" s="8" t="inlineStr">
        <is>
          <t>Nikon</t>
        </is>
      </c>
      <c r="I353" s="8" t="inlineStr">
        <is>
          <t>Nikon</t>
        </is>
      </c>
      <c r="J353" s="9" t="inlineStr">
        <is>
          <t>85mm</t>
        </is>
      </c>
    </row>
    <row r="354" ht="125" customHeight="1">
      <c r="A354" s="2" t="inlineStr">
        <is>
          <t>Sigma for Nikon 35mm (1.4)</t>
        </is>
      </c>
      <c r="B354" s="3" t="n">
        <v>1500</v>
      </c>
      <c r="C354" s="4">
        <f>IMAGE("https://tse1.mm.bing.net/th?q=Sigma%20for%20Nikon%2035mm%20%281.4%29", "Sigma for Nikon 35mm (1.4)", 3, 120, 120)</f>
        <v/>
      </c>
      <c r="D354" s="2" t="inlineStr">
        <is>
          <t>https://tse1.mm.bing.net/th?q=Sigma%20for%20Nikon%2035mm%20%281.4%29</t>
        </is>
      </c>
      <c r="E354" s="2" t="inlineStr">
        <is>
          <t>https://gripsfilmsrentals.com/product/sigma-for-nikon-35mm-1-4/</t>
        </is>
      </c>
      <c r="F354" s="2" t="inlineStr">
        <is>
          <t>https://gripsfilmsrentals.com/shop/</t>
        </is>
      </c>
      <c r="G354" s="8" t="inlineStr">
        <is>
          <t>Lenses</t>
        </is>
      </c>
      <c r="H354" s="8" t="inlineStr">
        <is>
          <t>Nikon</t>
        </is>
      </c>
      <c r="I354" s="8" t="inlineStr">
        <is>
          <t>Nikon</t>
        </is>
      </c>
      <c r="J354" s="9" t="inlineStr">
        <is>
          <t>35mm</t>
        </is>
      </c>
    </row>
    <row r="355" ht="125" customHeight="1">
      <c r="A355" s="2" t="inlineStr">
        <is>
          <t>Sigma for Canon 85mm (1.4)</t>
        </is>
      </c>
      <c r="B355" s="3" t="n">
        <v>1500</v>
      </c>
      <c r="C355" s="4">
        <f>IMAGE("https://tse1.mm.bing.net/th?q=Sigma%20for%20Canon%2085mm%20%281.4%29", "Sigma for Canon 85mm (1.4)", 3, 120, 120)</f>
        <v/>
      </c>
      <c r="D355" s="2" t="inlineStr">
        <is>
          <t>https://tse1.mm.bing.net/th?q=Sigma%20for%20Canon%2085mm%20%281.4%29</t>
        </is>
      </c>
      <c r="E355" s="2" t="inlineStr">
        <is>
          <t>https://gripsfilmsrentals.com/product/sigma-for-canon-85mm-1-4/</t>
        </is>
      </c>
      <c r="F355" s="2" t="inlineStr">
        <is>
          <t>https://gripsfilmsrentals.com/shop/</t>
        </is>
      </c>
      <c r="G355" s="8" t="inlineStr">
        <is>
          <t>Lenses</t>
        </is>
      </c>
      <c r="H355" s="8" t="inlineStr">
        <is>
          <t>Canon</t>
        </is>
      </c>
      <c r="I355" s="8" t="inlineStr">
        <is>
          <t>Canon</t>
        </is>
      </c>
      <c r="J355" s="9" t="inlineStr">
        <is>
          <t>85mm</t>
        </is>
      </c>
    </row>
    <row r="356" ht="125" customHeight="1">
      <c r="A356" s="2" t="inlineStr">
        <is>
          <t>Sigma for Canon 70-200mm (A 2.8)</t>
        </is>
      </c>
      <c r="B356" s="3" t="n">
        <v>2000</v>
      </c>
      <c r="C356" s="4">
        <f>IMAGE("https://tse1.mm.bing.net/th?q=Sigma%20for%20Canon%2070-200mm%20%28A%202.8%29", "Sigma for Canon 70-200mm (A 2.8)", 3, 120, 120)</f>
        <v/>
      </c>
      <c r="D356" s="2" t="inlineStr">
        <is>
          <t>https://tse1.mm.bing.net/th?q=Sigma%20for%20Canon%2070-200mm%20%28A%202.8%29</t>
        </is>
      </c>
      <c r="E356" s="2" t="inlineStr">
        <is>
          <t>https://gripsfilmsrentals.com/product/sigma-for-canon-70-200mm-a-2-8/</t>
        </is>
      </c>
      <c r="F356" s="2" t="inlineStr">
        <is>
          <t>https://gripsfilmsrentals.com/shop/</t>
        </is>
      </c>
      <c r="G356" s="8" t="inlineStr">
        <is>
          <t>Lenses</t>
        </is>
      </c>
      <c r="H356" s="8" t="inlineStr">
        <is>
          <t>Canon</t>
        </is>
      </c>
      <c r="I356" s="8" t="inlineStr">
        <is>
          <t>Canon</t>
        </is>
      </c>
      <c r="J356" s="9" t="inlineStr">
        <is>
          <t>70-200mm</t>
        </is>
      </c>
    </row>
    <row r="357" ht="125" customHeight="1">
      <c r="A357" s="2" t="inlineStr">
        <is>
          <t>Sigma for Canon 50-100mm (A 1.8)</t>
        </is>
      </c>
      <c r="B357" s="3" t="n">
        <v>2000</v>
      </c>
      <c r="C357" s="4">
        <f>IMAGE("https://tse1.mm.bing.net/th?q=Sigma%20for%20Canon%2050-100mm%20%28A%201.8%29", "Sigma for Canon 50-100mm (A 1.8)", 3, 120, 120)</f>
        <v/>
      </c>
      <c r="D357" s="2" t="inlineStr">
        <is>
          <t>https://tse1.mm.bing.net/th?q=Sigma%20for%20Canon%2050-100mm%20%28A%201.8%29</t>
        </is>
      </c>
      <c r="E357" s="2" t="inlineStr">
        <is>
          <t>https://gripsfilmsrentals.com/product/sigma-for-canon-50-100mm-a-1-8/</t>
        </is>
      </c>
      <c r="F357" s="2" t="inlineStr">
        <is>
          <t>https://gripsfilmsrentals.com/shop/</t>
        </is>
      </c>
      <c r="G357" s="8" t="inlineStr">
        <is>
          <t>Lenses</t>
        </is>
      </c>
      <c r="H357" s="8" t="inlineStr">
        <is>
          <t>Canon</t>
        </is>
      </c>
      <c r="I357" s="8" t="inlineStr">
        <is>
          <t>Canon</t>
        </is>
      </c>
      <c r="J357" s="9" t="inlineStr">
        <is>
          <t>50-100mm</t>
        </is>
      </c>
    </row>
    <row r="358" ht="125" customHeight="1">
      <c r="A358" s="2" t="inlineStr">
        <is>
          <t>Sigma for Canon 10-20mm (3.5)</t>
        </is>
      </c>
      <c r="B358" s="3" t="n">
        <v>1500</v>
      </c>
      <c r="C358" s="4">
        <f>IMAGE("https://tse1.mm.bing.net/th?q=Sigma%20for%20Canon%2010-20mm%20%283.5%29", "Sigma for Canon 10-20mm (3.5)", 3, 120, 120)</f>
        <v/>
      </c>
      <c r="D358" s="2" t="inlineStr">
        <is>
          <t>https://tse1.mm.bing.net/th?q=Sigma%20for%20Canon%2010-20mm%20%283.5%29</t>
        </is>
      </c>
      <c r="E358" s="2" t="inlineStr">
        <is>
          <t>https://gripsfilmsrentals.com/product/sigma-for-canon-10-20mm-3-5/</t>
        </is>
      </c>
      <c r="F358" s="2" t="inlineStr">
        <is>
          <t>https://gripsfilmsrentals.com/shop/</t>
        </is>
      </c>
      <c r="G358" s="8" t="inlineStr">
        <is>
          <t>Lenses</t>
        </is>
      </c>
      <c r="H358" s="8" t="inlineStr">
        <is>
          <t>Canon</t>
        </is>
      </c>
      <c r="I358" s="8" t="inlineStr">
        <is>
          <t>Canon</t>
        </is>
      </c>
      <c r="J358" s="9" t="inlineStr">
        <is>
          <t>10-20mm</t>
        </is>
      </c>
    </row>
    <row r="359" ht="125" customHeight="1">
      <c r="A359" s="2" t="inlineStr">
        <is>
          <t>Sigma for Canon 18-35mm (A 1.8)</t>
        </is>
      </c>
      <c r="B359" s="3" t="n">
        <v>1500</v>
      </c>
      <c r="C359" s="4">
        <f>IMAGE("https://tse1.mm.bing.net/th?q=Sigma%20for%20Canon%2018-35mm%20%28A%201.8%29", "Sigma for Canon 18-35mm (A 1.8)", 3, 120, 120)</f>
        <v/>
      </c>
      <c r="D359" s="2" t="inlineStr">
        <is>
          <t>https://tse1.mm.bing.net/th?q=Sigma%20for%20Canon%2018-35mm%20%28A%201.8%29</t>
        </is>
      </c>
      <c r="E359" s="2" t="inlineStr">
        <is>
          <t>https://gripsfilmsrentals.com/product/sigma-for-canon-18-35mm-a-1-8/</t>
        </is>
      </c>
      <c r="F359" s="2" t="inlineStr">
        <is>
          <t>https://gripsfilmsrentals.com/shop/</t>
        </is>
      </c>
      <c r="G359" s="8" t="inlineStr">
        <is>
          <t>Lenses</t>
        </is>
      </c>
      <c r="H359" s="8" t="inlineStr">
        <is>
          <t>Canon</t>
        </is>
      </c>
      <c r="I359" s="8" t="inlineStr">
        <is>
          <t>Canon</t>
        </is>
      </c>
      <c r="J359" s="9" t="inlineStr">
        <is>
          <t>18-35mm</t>
        </is>
      </c>
    </row>
    <row r="360" ht="125" customHeight="1">
      <c r="A360" s="2" t="inlineStr">
        <is>
          <t>Rokinon/Samyang/MFT 16mm (2.2)</t>
        </is>
      </c>
      <c r="B360" s="3" t="n">
        <v>2000</v>
      </c>
      <c r="C360" s="4">
        <f>IMAGE("https://tse1.mm.bing.net/th?q=Rokinon/Samyang/MFT%2016mm%20%282.2%29", "Rokinon/Samyang/MFT 16mm (2.2)", 3, 120, 120)</f>
        <v/>
      </c>
      <c r="D360" s="2" t="inlineStr">
        <is>
          <t>https://tse1.mm.bing.net/th?q=Rokinon/Samyang/MFT%2016mm%20%282.2%29</t>
        </is>
      </c>
      <c r="E360" s="2" t="inlineStr">
        <is>
          <t>https://gripsfilmsrentals.com/product/rokinon-samyang-mft-16mm-2-2/</t>
        </is>
      </c>
      <c r="F360" s="2" t="inlineStr">
        <is>
          <t>https://gripsfilmsrentals.com/shop/</t>
        </is>
      </c>
      <c r="G360" s="8" t="inlineStr">
        <is>
          <t>Lenses</t>
        </is>
      </c>
      <c r="H360" s="8" t="inlineStr">
        <is>
          <t>Rokinon</t>
        </is>
      </c>
      <c r="I360" s="8" t="inlineStr">
        <is>
          <t>Rokinon</t>
        </is>
      </c>
      <c r="J360" s="9" t="inlineStr">
        <is>
          <t>16mm</t>
        </is>
      </c>
    </row>
    <row r="361" ht="125" customHeight="1">
      <c r="A361" s="2" t="inlineStr">
        <is>
          <t>Rokinon/Samyang/MFT 24mm (1.5)</t>
        </is>
      </c>
      <c r="B361" s="3" t="n">
        <v>2000</v>
      </c>
      <c r="C361" s="4">
        <f>IMAGE("https://tse1.mm.bing.net/th?q=Rokinon/Samyang/MFT%2024mm%20%281.5%29", "Rokinon/Samyang/MFT 24mm (1.5)", 3, 120, 120)</f>
        <v/>
      </c>
      <c r="D361" s="2" t="inlineStr">
        <is>
          <t>https://tse1.mm.bing.net/th?q=Rokinon/Samyang/MFT%2024mm%20%281.5%29</t>
        </is>
      </c>
      <c r="E361" s="2" t="inlineStr">
        <is>
          <t>https://gripsfilmsrentals.com/product/rokinon-samyang-mft-24mm-1-5/</t>
        </is>
      </c>
      <c r="F361" s="2" t="inlineStr">
        <is>
          <t>https://gripsfilmsrentals.com/shop/</t>
        </is>
      </c>
      <c r="G361" s="8" t="inlineStr">
        <is>
          <t>Lenses</t>
        </is>
      </c>
      <c r="H361" s="8" t="inlineStr">
        <is>
          <t>Rokinon</t>
        </is>
      </c>
      <c r="I361" s="8" t="inlineStr">
        <is>
          <t>Rokinon</t>
        </is>
      </c>
      <c r="J361" s="9" t="inlineStr">
        <is>
          <t>24mm</t>
        </is>
      </c>
    </row>
    <row r="362" ht="125" customHeight="1">
      <c r="A362" s="2" t="inlineStr">
        <is>
          <t>Rokinon/Samyang/MFT 85mm (1.5)</t>
        </is>
      </c>
      <c r="B362" s="3" t="n">
        <v>2000</v>
      </c>
      <c r="C362" s="4">
        <f>IMAGE("https://tse1.mm.bing.net/th?q=Rokinon/Samyang/MFT%2085mm%20%281.5%29", "Rokinon/Samyang/MFT 85mm (1.5)", 3, 120, 120)</f>
        <v/>
      </c>
      <c r="D362" s="2" t="inlineStr">
        <is>
          <t>https://tse1.mm.bing.net/th?q=Rokinon/Samyang/MFT%2085mm%20%281.5%29</t>
        </is>
      </c>
      <c r="E362" s="2" t="inlineStr">
        <is>
          <t>https://gripsfilmsrentals.com/product/rokinon-samyang-mft-85mm-1-5/</t>
        </is>
      </c>
      <c r="F362" s="2" t="inlineStr">
        <is>
          <t>https://gripsfilmsrentals.com/shop/</t>
        </is>
      </c>
      <c r="G362" s="8" t="inlineStr">
        <is>
          <t>Lenses</t>
        </is>
      </c>
      <c r="H362" s="8" t="inlineStr">
        <is>
          <t>Rokinon</t>
        </is>
      </c>
      <c r="I362" s="8" t="inlineStr">
        <is>
          <t>Rokinon</t>
        </is>
      </c>
      <c r="J362" s="9" t="inlineStr">
        <is>
          <t>85mm</t>
        </is>
      </c>
    </row>
    <row r="363" ht="125" customHeight="1">
      <c r="A363" s="2" t="inlineStr">
        <is>
          <t>Rokinon/Samyang/14mm (3.1)</t>
        </is>
      </c>
      <c r="B363" s="3" t="n">
        <v>2000</v>
      </c>
      <c r="C363" s="4">
        <f>IMAGE("https://tse1.mm.bing.net/th?q=Rokinon/Samyang/14mm%20%283.1%29", "Rokinon/Samyang/14mm (3.1)", 3, 120, 120)</f>
        <v/>
      </c>
      <c r="D363" s="2" t="inlineStr">
        <is>
          <t>https://tse1.mm.bing.net/th?q=Rokinon/Samyang/14mm%20%283.1%29</t>
        </is>
      </c>
      <c r="E363" s="2" t="inlineStr">
        <is>
          <t>https://gripsfilmsrentals.com/product/rokinon-samyang-14mm-3-1/</t>
        </is>
      </c>
      <c r="F363" s="2" t="inlineStr">
        <is>
          <t>https://gripsfilmsrentals.com/shop/</t>
        </is>
      </c>
      <c r="G363" s="8" t="inlineStr">
        <is>
          <t>Lenses</t>
        </is>
      </c>
      <c r="H363" s="8" t="inlineStr">
        <is>
          <t>Rokinon</t>
        </is>
      </c>
      <c r="I363" s="8" t="inlineStr">
        <is>
          <t>Rokinon</t>
        </is>
      </c>
      <c r="J363" s="9" t="inlineStr">
        <is>
          <t>14mm</t>
        </is>
      </c>
    </row>
    <row r="364" ht="125" customHeight="1">
      <c r="A364" s="2" t="inlineStr">
        <is>
          <t>Rokinon/Samyang/16mm (2.6)</t>
        </is>
      </c>
      <c r="B364" s="3" t="n">
        <v>2000</v>
      </c>
      <c r="C364" s="4">
        <f>IMAGE("https://tse1.mm.bing.net/th?q=Rokinon/Samyang/16mm%20%282.6%29", "Rokinon/Samyang/16mm (2.6)", 3, 120, 120)</f>
        <v/>
      </c>
      <c r="D364" s="2" t="inlineStr">
        <is>
          <t>https://tse1.mm.bing.net/th?q=Rokinon/Samyang/16mm%20%282.6%29</t>
        </is>
      </c>
      <c r="E364" s="2" t="inlineStr">
        <is>
          <t>https://gripsfilmsrentals.com/product/rokinon-samyang-16mm-2-6/</t>
        </is>
      </c>
      <c r="F364" s="2" t="inlineStr">
        <is>
          <t>https://gripsfilmsrentals.com/shop/</t>
        </is>
      </c>
      <c r="G364" s="8" t="inlineStr">
        <is>
          <t>Lenses</t>
        </is>
      </c>
      <c r="H364" s="8" t="inlineStr">
        <is>
          <t>Rokinon</t>
        </is>
      </c>
      <c r="I364" s="8" t="inlineStr">
        <is>
          <t>Rokinon</t>
        </is>
      </c>
      <c r="J364" s="9" t="inlineStr">
        <is>
          <t>16mm</t>
        </is>
      </c>
    </row>
    <row r="365" ht="125" customHeight="1">
      <c r="A365" s="2" t="inlineStr">
        <is>
          <t>Rokinon/Samyang/24mm (1.5)</t>
        </is>
      </c>
      <c r="B365" s="3" t="n">
        <v>2000</v>
      </c>
      <c r="C365" s="4">
        <f>IMAGE("https://tse1.mm.bing.net/th?q=Rokinon/Samyang/24mm%20%281.5%29", "Rokinon/Samyang/24mm (1.5)", 3, 120, 120)</f>
        <v/>
      </c>
      <c r="D365" s="2" t="inlineStr">
        <is>
          <t>https://tse1.mm.bing.net/th?q=Rokinon/Samyang/24mm%20%281.5%29</t>
        </is>
      </c>
      <c r="E365" s="2" t="inlineStr">
        <is>
          <t>https://gripsfilmsrentals.com/product/rokinon-samyang-24mm-1-5/</t>
        </is>
      </c>
      <c r="F365" s="2" t="inlineStr">
        <is>
          <t>https://gripsfilmsrentals.com/shop/</t>
        </is>
      </c>
      <c r="G365" s="8" t="inlineStr">
        <is>
          <t>Lenses</t>
        </is>
      </c>
      <c r="H365" s="8" t="inlineStr">
        <is>
          <t>Rokinon</t>
        </is>
      </c>
      <c r="I365" s="8" t="inlineStr">
        <is>
          <t>Rokinon</t>
        </is>
      </c>
      <c r="J365" s="9" t="inlineStr">
        <is>
          <t>24mm</t>
        </is>
      </c>
    </row>
    <row r="366" ht="125" customHeight="1">
      <c r="A366" s="2" t="inlineStr">
        <is>
          <t>Rokinon/Samyang/35mm (1.5)</t>
        </is>
      </c>
      <c r="B366" s="3" t="n">
        <v>2000</v>
      </c>
      <c r="C366" s="4">
        <f>IMAGE("https://tse1.mm.bing.net/th?q=Rokinon/Samyang/35mm%20%281.5%29", "Rokinon/Samyang/35mm (1.5)", 3, 120, 120)</f>
        <v/>
      </c>
      <c r="D366" s="2" t="inlineStr">
        <is>
          <t>https://tse1.mm.bing.net/th?q=Rokinon/Samyang/35mm%20%281.5%29</t>
        </is>
      </c>
      <c r="E366" s="2" t="inlineStr">
        <is>
          <t>https://gripsfilmsrentals.com/product/rokinon-samyang-35mm-1-5/</t>
        </is>
      </c>
      <c r="F366" s="2" t="inlineStr">
        <is>
          <t>https://gripsfilmsrentals.com/shop/</t>
        </is>
      </c>
      <c r="G366" s="8" t="inlineStr">
        <is>
          <t>Lenses</t>
        </is>
      </c>
      <c r="H366" s="8" t="inlineStr">
        <is>
          <t>Rokinon</t>
        </is>
      </c>
      <c r="I366" s="8" t="inlineStr">
        <is>
          <t>Rokinon</t>
        </is>
      </c>
      <c r="J366" s="9" t="inlineStr">
        <is>
          <t>35mm</t>
        </is>
      </c>
    </row>
    <row r="367" ht="125" customHeight="1">
      <c r="A367" s="2" t="inlineStr">
        <is>
          <t>Rokinon/Samyang/50mm (1.5)</t>
        </is>
      </c>
      <c r="B367" s="3" t="n">
        <v>2000</v>
      </c>
      <c r="C367" s="4">
        <f>IMAGE("https://tse1.mm.bing.net/th?q=Rokinon/Samyang/50mm%20%281.5%29", "Rokinon/Samyang/50mm (1.5)", 3, 120, 120)</f>
        <v/>
      </c>
      <c r="D367" s="2" t="inlineStr">
        <is>
          <t>https://tse1.mm.bing.net/th?q=Rokinon/Samyang/50mm%20%281.5%29</t>
        </is>
      </c>
      <c r="E367" s="2" t="inlineStr">
        <is>
          <t>https://gripsfilmsrentals.com/product/rokinon-samyang-50mm-1-5/</t>
        </is>
      </c>
      <c r="F367" s="2" t="inlineStr">
        <is>
          <t>https://gripsfilmsrentals.com/shop/</t>
        </is>
      </c>
      <c r="G367" s="8" t="inlineStr">
        <is>
          <t>Lenses</t>
        </is>
      </c>
      <c r="H367" s="8" t="inlineStr">
        <is>
          <t>Rokinon</t>
        </is>
      </c>
      <c r="I367" s="8" t="inlineStr">
        <is>
          <t>Rokinon</t>
        </is>
      </c>
      <c r="J367" s="9" t="inlineStr">
        <is>
          <t>50mm</t>
        </is>
      </c>
    </row>
    <row r="368" ht="125" customHeight="1">
      <c r="A368" s="2" t="inlineStr">
        <is>
          <t>Rokinon/Samyang/85mm (1.5)</t>
        </is>
      </c>
      <c r="B368" s="3" t="n">
        <v>2000</v>
      </c>
      <c r="C368" s="4">
        <f>IMAGE("https://tse1.mm.bing.net/th?q=Rokinon/Samyang/85mm%20%281.5%29", "Rokinon/Samyang/85mm (1.5)", 3, 120, 120)</f>
        <v/>
      </c>
      <c r="D368" s="2" t="inlineStr">
        <is>
          <t>https://tse1.mm.bing.net/th?q=Rokinon/Samyang/85mm%20%281.5%29</t>
        </is>
      </c>
      <c r="E368" s="2" t="inlineStr">
        <is>
          <t>https://gripsfilmsrentals.com/product/rokinon-samyang-85mm-1-5/</t>
        </is>
      </c>
      <c r="F368" s="2" t="inlineStr">
        <is>
          <t>https://gripsfilmsrentals.com/shop/</t>
        </is>
      </c>
      <c r="G368" s="8" t="inlineStr">
        <is>
          <t>Lenses</t>
        </is>
      </c>
      <c r="H368" s="8" t="inlineStr">
        <is>
          <t>Rokinon</t>
        </is>
      </c>
      <c r="I368" s="8" t="inlineStr">
        <is>
          <t>Rokinon</t>
        </is>
      </c>
      <c r="J368" s="9" t="inlineStr">
        <is>
          <t>85mm</t>
        </is>
      </c>
    </row>
    <row r="369" ht="125" customHeight="1">
      <c r="A369" s="2" t="inlineStr">
        <is>
          <t>Rokinon/Samyang/135mm (2.2)</t>
        </is>
      </c>
      <c r="B369" s="3" t="n">
        <v>2000</v>
      </c>
      <c r="C369" s="4">
        <f>IMAGE("https://tse1.mm.bing.net/th?q=Rokinon/Samyang/135mm%20%282.2%29", "Rokinon/Samyang/135mm (2.2)", 3, 120, 120)</f>
        <v/>
      </c>
      <c r="D369" s="2" t="inlineStr">
        <is>
          <t>https://tse1.mm.bing.net/th?q=Rokinon/Samyang/135mm%20%282.2%29</t>
        </is>
      </c>
      <c r="E369" s="2" t="inlineStr">
        <is>
          <t>https://gripsfilmsrentals.com/product/rokinon-samyang-135mm-2-2/</t>
        </is>
      </c>
      <c r="F369" s="2" t="inlineStr">
        <is>
          <t>https://gripsfilmsrentals.com/shop/</t>
        </is>
      </c>
      <c r="G369" s="8" t="inlineStr">
        <is>
          <t>Lenses</t>
        </is>
      </c>
      <c r="H369" s="8" t="inlineStr">
        <is>
          <t>Rokinon</t>
        </is>
      </c>
      <c r="I369" s="8" t="inlineStr">
        <is>
          <t>Rokinon</t>
        </is>
      </c>
      <c r="J369" s="9" t="inlineStr">
        <is>
          <t>135mm</t>
        </is>
      </c>
    </row>
    <row r="370" ht="125" customHeight="1">
      <c r="A370" s="2" t="inlineStr">
        <is>
          <t>Canon 16-35mm USM III (2.8)</t>
        </is>
      </c>
      <c r="B370" s="3" t="n">
        <v>2000</v>
      </c>
      <c r="C370" s="4">
        <f>IMAGE("https://tse1.mm.bing.net/th?q=Canon%2016-35mm%20USM%20III%20%282.8%29", "Canon 16-35mm USM III (2.8)", 3, 120, 120)</f>
        <v/>
      </c>
      <c r="D370" s="2" t="inlineStr">
        <is>
          <t>https://tse1.mm.bing.net/th?q=Canon%2016-35mm%20USM%20III%20%282.8%29</t>
        </is>
      </c>
      <c r="E370" s="2" t="inlineStr">
        <is>
          <t>https://gripsfilmsrentals.com/product/canon-16-35mm-usm-iii-2-8/</t>
        </is>
      </c>
      <c r="F370" s="2" t="inlineStr">
        <is>
          <t>https://gripsfilmsrentals.com/shop/</t>
        </is>
      </c>
      <c r="G370" s="8" t="inlineStr">
        <is>
          <t>Lenses</t>
        </is>
      </c>
      <c r="H370" s="8" t="inlineStr">
        <is>
          <t>Canon</t>
        </is>
      </c>
      <c r="I370" s="8" t="inlineStr">
        <is>
          <t>Canon</t>
        </is>
      </c>
      <c r="J370" s="9" t="inlineStr">
        <is>
          <t>16-35mm</t>
        </is>
      </c>
    </row>
    <row r="371" ht="125" customHeight="1">
      <c r="A371" s="2" t="inlineStr">
        <is>
          <t>Canon 70-200mm III (2.8)</t>
        </is>
      </c>
      <c r="B371" s="3" t="n">
        <v>2000</v>
      </c>
      <c r="C371" s="4">
        <f>IMAGE("https://tse1.mm.bing.net/th?q=Canon%2070-200mm%20III%20%282.8%29", "Canon 70-200mm III (2.8)", 3, 120, 120)</f>
        <v/>
      </c>
      <c r="D371" s="2" t="inlineStr">
        <is>
          <t>https://tse1.mm.bing.net/th?q=Canon%2070-200mm%20III%20%282.8%29</t>
        </is>
      </c>
      <c r="E371" s="2" t="inlineStr">
        <is>
          <t>https://gripsfilmsrentals.com/product/canon-70-200mm-iii-2-8/</t>
        </is>
      </c>
      <c r="F371" s="2" t="inlineStr">
        <is>
          <t>https://gripsfilmsrentals.com/shop/</t>
        </is>
      </c>
      <c r="G371" s="8" t="inlineStr">
        <is>
          <t>Lenses</t>
        </is>
      </c>
      <c r="H371" s="8" t="inlineStr">
        <is>
          <t>Canon</t>
        </is>
      </c>
      <c r="I371" s="8" t="inlineStr">
        <is>
          <t>Canon</t>
        </is>
      </c>
      <c r="J371" s="9" t="inlineStr">
        <is>
          <t>70-200mm</t>
        </is>
      </c>
    </row>
    <row r="372" ht="125" customHeight="1">
      <c r="A372" s="2" t="inlineStr">
        <is>
          <t>Canon EF 24-70mm f/2.8L II USM Lens</t>
        </is>
      </c>
      <c r="B372" s="3" t="n">
        <v>1500</v>
      </c>
      <c r="C372" s="4">
        <f>IMAGE("https://tse1.mm.bing.net/th?q=Canon%20EF%2024-70mm%20f/2.8L%20II%20USM%20Lens", "Canon EF 24-70mm f/2.8L II USM Lens", 3, 120, 120)</f>
        <v/>
      </c>
      <c r="D372" s="2" t="inlineStr">
        <is>
          <t>https://tse1.mm.bing.net/th?q=Canon%20EF%2024-70mm%20f/2.8L%20II%20USM%20Lens</t>
        </is>
      </c>
      <c r="E372" s="2" t="inlineStr">
        <is>
          <t>https://gripsfilmsrentals.com/product/canon-ef-24-70mm-f-2-8l-ii-usm-lens/</t>
        </is>
      </c>
      <c r="F372" s="2" t="inlineStr">
        <is>
          <t>https://gripsfilmsrentals.com/shop/</t>
        </is>
      </c>
      <c r="G372" s="8" t="inlineStr">
        <is>
          <t>Lenses</t>
        </is>
      </c>
      <c r="H372" s="8" t="inlineStr">
        <is>
          <t>Canon</t>
        </is>
      </c>
      <c r="I372" s="8" t="inlineStr">
        <is>
          <t>Canon</t>
        </is>
      </c>
      <c r="J372" s="9" t="inlineStr">
        <is>
          <t>f/2, 24-70mm, Canon EF</t>
        </is>
      </c>
    </row>
    <row r="373" ht="125" customHeight="1">
      <c r="A373" s="2" t="inlineStr">
        <is>
          <t>Canon 100mm Macro (2.8)</t>
        </is>
      </c>
      <c r="B373" s="3" t="n">
        <v>2000</v>
      </c>
      <c r="C373" s="4">
        <f>IMAGE("https://tse1.mm.bing.net/th?q=Canon%20100mm%20Macro%20%282.8%29", "Canon 100mm Macro (2.8)", 3, 120, 120)</f>
        <v/>
      </c>
      <c r="D373" s="2" t="inlineStr">
        <is>
          <t>https://tse1.mm.bing.net/th?q=Canon%20100mm%20Macro%20%282.8%29</t>
        </is>
      </c>
      <c r="E373" s="2" t="inlineStr">
        <is>
          <t>https://gripsfilmsrentals.com/product/canon-100mm-macro-2-8/</t>
        </is>
      </c>
      <c r="F373" s="2" t="inlineStr">
        <is>
          <t>https://gripsfilmsrentals.com/shop/</t>
        </is>
      </c>
      <c r="G373" s="8" t="inlineStr">
        <is>
          <t>Lenses</t>
        </is>
      </c>
      <c r="H373" s="8" t="inlineStr">
        <is>
          <t>Canon</t>
        </is>
      </c>
      <c r="I373" s="8" t="inlineStr">
        <is>
          <t>Canon</t>
        </is>
      </c>
      <c r="J373" s="9" t="inlineStr">
        <is>
          <t>100mm, Macro</t>
        </is>
      </c>
    </row>
    <row r="374" ht="125" customHeight="1">
      <c r="A374" s="2" t="inlineStr">
        <is>
          <t>Canon 50mm (1.2)</t>
        </is>
      </c>
      <c r="B374" s="3" t="n">
        <v>2000</v>
      </c>
      <c r="C374" s="4">
        <f>IMAGE("https://tse1.mm.bing.net/th?q=Canon%2050mm%20%281.2%29", "Canon 50mm (1.2)", 3, 120, 120)</f>
        <v/>
      </c>
      <c r="D374" s="2" t="inlineStr">
        <is>
          <t>https://tse1.mm.bing.net/th?q=Canon%2050mm%20%281.2%29</t>
        </is>
      </c>
      <c r="E374" s="2" t="inlineStr">
        <is>
          <t>https://gripsfilmsrentals.com/product/canon-50mm-1-2/</t>
        </is>
      </c>
      <c r="F374" s="2" t="inlineStr">
        <is>
          <t>https://gripsfilmsrentals.com/shop/</t>
        </is>
      </c>
      <c r="G374" s="8" t="inlineStr">
        <is>
          <t>Lenses</t>
        </is>
      </c>
      <c r="H374" s="8" t="inlineStr">
        <is>
          <t>Canon</t>
        </is>
      </c>
      <c r="I374" s="8" t="inlineStr">
        <is>
          <t>Canon</t>
        </is>
      </c>
      <c r="J374" s="9" t="inlineStr">
        <is>
          <t>50mm</t>
        </is>
      </c>
    </row>
    <row r="375" ht="125" customHeight="1">
      <c r="A375" s="2" t="inlineStr">
        <is>
          <t>Canon 50mm (1.4)</t>
        </is>
      </c>
      <c r="B375" s="3" t="n">
        <v>1500</v>
      </c>
      <c r="C375" s="4">
        <f>IMAGE("https://tse1.mm.bing.net/th?q=Canon%2050mm%20%281.4%29", "Canon 50mm (1.4)", 3, 120, 120)</f>
        <v/>
      </c>
      <c r="D375" s="2" t="inlineStr">
        <is>
          <t>https://tse1.mm.bing.net/th?q=Canon%2050mm%20%281.4%29</t>
        </is>
      </c>
      <c r="E375" s="2" t="inlineStr">
        <is>
          <t>https://gripsfilmsrentals.com/product/canon-50mm-1-4/</t>
        </is>
      </c>
      <c r="F375" s="2" t="inlineStr">
        <is>
          <t>https://gripsfilmsrentals.com/shop/</t>
        </is>
      </c>
      <c r="G375" s="8" t="inlineStr">
        <is>
          <t>Lenses</t>
        </is>
      </c>
      <c r="H375" s="8" t="inlineStr">
        <is>
          <t>Canon</t>
        </is>
      </c>
      <c r="I375" s="8" t="inlineStr">
        <is>
          <t>Canon</t>
        </is>
      </c>
      <c r="J375" s="9" t="inlineStr">
        <is>
          <t>50mm</t>
        </is>
      </c>
    </row>
    <row r="376" ht="125" customHeight="1">
      <c r="A376" s="2" t="inlineStr">
        <is>
          <t>Black Magic Pocket (6k)</t>
        </is>
      </c>
      <c r="B376" s="3" t="n">
        <v>5000</v>
      </c>
      <c r="C376" s="4">
        <f>IMAGE("https://tse1.mm.bing.net/th?q=Black%20Magic%20Pocket%20%286k%29", "Black Magic Pocket (6k)", 3, 120, 120)</f>
        <v/>
      </c>
      <c r="D376" s="2" t="inlineStr">
        <is>
          <t>https://tse1.mm.bing.net/th?q=Black%20Magic%20Pocket%20%286k%29</t>
        </is>
      </c>
      <c r="E376" s="2" t="inlineStr">
        <is>
          <t>https://gripsfilmsrentals.com/product/black-magic-pocket-6k/</t>
        </is>
      </c>
      <c r="F376" s="2" t="inlineStr">
        <is>
          <t>https://gripsfilmsrentals.com/shop/</t>
        </is>
      </c>
      <c r="G376" s="8" t="inlineStr">
        <is>
          <t>Photography / Video Accessories</t>
        </is>
      </c>
      <c r="H376" s="8" t="inlineStr">
        <is>
          <t>Accessory</t>
        </is>
      </c>
      <c r="I376" s="8" t="inlineStr">
        <is>
          <t>Black Magic</t>
        </is>
      </c>
      <c r="J376" s="9" t="inlineStr">
        <is>
          <t>6k</t>
        </is>
      </c>
    </row>
    <row r="377" ht="125" customHeight="1">
      <c r="A377" s="2" t="inlineStr">
        <is>
          <t>Canon 85mm (1.4)</t>
        </is>
      </c>
      <c r="B377" s="3" t="n">
        <v>1500</v>
      </c>
      <c r="C377" s="4">
        <f>IMAGE("https://tse1.mm.bing.net/th?q=Canon%2085mm%20%281.4%29", "Canon 85mm (1.4)", 3, 120, 120)</f>
        <v/>
      </c>
      <c r="D377" s="2" t="inlineStr">
        <is>
          <t>https://tse1.mm.bing.net/th?q=Canon%2085mm%20%281.4%29</t>
        </is>
      </c>
      <c r="E377" s="2" t="inlineStr">
        <is>
          <t>https://gripsfilmsrentals.com/product/canon-85mm-1-4/</t>
        </is>
      </c>
      <c r="F377" s="2" t="inlineStr">
        <is>
          <t>https://gripsfilmsrentals.com/shop/</t>
        </is>
      </c>
      <c r="G377" s="8" t="inlineStr">
        <is>
          <t>Lenses</t>
        </is>
      </c>
      <c r="H377" s="8" t="inlineStr">
        <is>
          <t>Canon</t>
        </is>
      </c>
      <c r="I377" s="8" t="inlineStr">
        <is>
          <t>Canon</t>
        </is>
      </c>
      <c r="J377" s="9" t="inlineStr">
        <is>
          <t>85mm</t>
        </is>
      </c>
    </row>
    <row r="378" ht="125" customHeight="1">
      <c r="A378" s="2" t="inlineStr">
        <is>
          <t>Nikon D780</t>
        </is>
      </c>
      <c r="B378" s="3" t="n">
        <v>3000</v>
      </c>
      <c r="C378" s="4">
        <f>IMAGE("https://tse1.mm.bing.net/th?q=Nikon%20D780", "Nikon D780", 3, 120, 120)</f>
        <v/>
      </c>
      <c r="D378" s="2" t="inlineStr">
        <is>
          <t>https://tse1.mm.bing.net/th?q=Nikon%20D780</t>
        </is>
      </c>
      <c r="E378" s="2" t="inlineStr">
        <is>
          <t>https://gripsfilmsrentals.com/product/nikon-d780/</t>
        </is>
      </c>
      <c r="F378" s="2" t="inlineStr">
        <is>
          <t>https://gripsfilmsrentals.com/shop/</t>
        </is>
      </c>
      <c r="G378" s="8" t="inlineStr">
        <is>
          <t>Cameras</t>
        </is>
      </c>
      <c r="H378" s="8" t="inlineStr">
        <is>
          <t>Nikon</t>
        </is>
      </c>
      <c r="I378" s="8" t="inlineStr">
        <is>
          <t>Nikon</t>
        </is>
      </c>
      <c r="J378" s="9" t="inlineStr"/>
    </row>
    <row r="379" ht="125" customHeight="1">
      <c r="A379" s="2" t="inlineStr">
        <is>
          <t>Nikon D850</t>
        </is>
      </c>
      <c r="B379" s="3" t="n">
        <v>4000</v>
      </c>
      <c r="C379" s="4">
        <f>IMAGE("https://tse1.mm.bing.net/th?q=Nikon%20D850", "Nikon D850", 3, 120, 120)</f>
        <v/>
      </c>
      <c r="D379" s="2" t="inlineStr">
        <is>
          <t>https://tse1.mm.bing.net/th?q=Nikon%20D850</t>
        </is>
      </c>
      <c r="E379" s="2" t="inlineStr">
        <is>
          <t>https://gripsfilmsrentals.com/product/nikon-d850/</t>
        </is>
      </c>
      <c r="F379" s="2" t="inlineStr">
        <is>
          <t>https://gripsfilmsrentals.com/shop/</t>
        </is>
      </c>
      <c r="G379" s="8" t="inlineStr">
        <is>
          <t>Cameras</t>
        </is>
      </c>
      <c r="H379" s="8" t="inlineStr">
        <is>
          <t>Nikon</t>
        </is>
      </c>
      <c r="I379" s="8" t="inlineStr">
        <is>
          <t>Nikon</t>
        </is>
      </c>
      <c r="J379" s="9" t="inlineStr"/>
    </row>
    <row r="380" ht="125" customHeight="1">
      <c r="A380" s="2" t="inlineStr">
        <is>
          <t>Sony FS7 Mark II (Body Only)</t>
        </is>
      </c>
      <c r="B380" s="3" t="n">
        <v>6000</v>
      </c>
      <c r="C380" s="4">
        <f>IMAGE("https://tse1.mm.bing.net/th?q=Sony%20FS7%20Mark%20II%20%28Body%20Only%29", "Sony FS7 Mark II (Body Only)", 3, 120, 120)</f>
        <v/>
      </c>
      <c r="D380" s="2" t="inlineStr">
        <is>
          <t>https://tse1.mm.bing.net/th?q=Sony%20FS7%20Mark%20II%20%28Body%20Only%29</t>
        </is>
      </c>
      <c r="E380" s="2" t="inlineStr">
        <is>
          <t>https://gripsfilmsrentals.com/product/sony-fs7-mark-ii-body-only/</t>
        </is>
      </c>
      <c r="F380" s="2" t="inlineStr">
        <is>
          <t>https://gripsfilmsrentals.com/shop/</t>
        </is>
      </c>
      <c r="G380" s="8" t="inlineStr">
        <is>
          <t>Photography / Video Accessories</t>
        </is>
      </c>
      <c r="H380" s="8" t="inlineStr">
        <is>
          <t>Accessory</t>
        </is>
      </c>
      <c r="I380" s="8" t="inlineStr">
        <is>
          <t>Sony</t>
        </is>
      </c>
      <c r="J380" s="9" t="inlineStr"/>
    </row>
    <row r="381" ht="125" customHeight="1">
      <c r="A381" s="2" t="inlineStr">
        <is>
          <t>Sony Alpha a7 III</t>
        </is>
      </c>
      <c r="B381" s="3" t="n">
        <v>4000</v>
      </c>
      <c r="C381" s="4">
        <f>IMAGE("https://tse1.mm.bing.net/th?q=Sony%20Alpha%20a7%20III", "Sony Alpha a7 III", 3, 120, 120)</f>
        <v/>
      </c>
      <c r="D381" s="2" t="inlineStr">
        <is>
          <t>https://tse1.mm.bing.net/th?q=Sony%20Alpha%20a7%20III</t>
        </is>
      </c>
      <c r="E381" s="2" t="inlineStr">
        <is>
          <t>https://gripsfilmsrentals.com/product/sony-alpha-a7-iii/</t>
        </is>
      </c>
      <c r="F381" s="2" t="inlineStr">
        <is>
          <t>https://gripsfilmsrentals.com/shop/</t>
        </is>
      </c>
      <c r="G381" s="8" t="inlineStr">
        <is>
          <t>Cameras</t>
        </is>
      </c>
      <c r="H381" s="8" t="inlineStr">
        <is>
          <t>Sony</t>
        </is>
      </c>
      <c r="I381" s="8" t="inlineStr">
        <is>
          <t>Sony</t>
        </is>
      </c>
      <c r="J381" s="9" t="inlineStr"/>
    </row>
    <row r="382" ht="125" customHeight="1">
      <c r="A382" s="2" t="inlineStr">
        <is>
          <t>Canon 5D Mark III</t>
        </is>
      </c>
      <c r="B382" s="3" t="n">
        <v>3500</v>
      </c>
      <c r="C382" s="4">
        <f>IMAGE("https://tse1.mm.bing.net/th?q=Canon%205D%20Mark%20III", "Canon 5D Mark III", 3, 120, 120)</f>
        <v/>
      </c>
      <c r="D382" s="2" t="inlineStr">
        <is>
          <t>https://tse1.mm.bing.net/th?q=Canon%205D%20Mark%20III</t>
        </is>
      </c>
      <c r="E382" s="2" t="inlineStr">
        <is>
          <t>https://gripsfilmsrentals.com/product/canon-5d-mark-iii/</t>
        </is>
      </c>
      <c r="F382" s="2" t="inlineStr">
        <is>
          <t>https://gripsfilmsrentals.com/shop/</t>
        </is>
      </c>
      <c r="G382" s="8" t="inlineStr">
        <is>
          <t>Cameras</t>
        </is>
      </c>
      <c r="H382" s="8" t="inlineStr">
        <is>
          <t>Canon</t>
        </is>
      </c>
      <c r="I382" s="8" t="inlineStr">
        <is>
          <t>Canon</t>
        </is>
      </c>
      <c r="J382" s="9" t="inlineStr"/>
    </row>
    <row r="383" ht="125" customHeight="1">
      <c r="A383" s="2" t="inlineStr">
        <is>
          <t>Canon 5D Mark IV</t>
        </is>
      </c>
      <c r="B383" s="3" t="n">
        <v>4000</v>
      </c>
      <c r="C383" s="4">
        <f>IMAGE("https://tse1.mm.bing.net/th?q=Canon%205D%20Mark%20IV", "Canon 5D Mark IV", 3, 120, 120)</f>
        <v/>
      </c>
      <c r="D383" s="2" t="inlineStr">
        <is>
          <t>https://tse1.mm.bing.net/th?q=Canon%205D%20Mark%20IV</t>
        </is>
      </c>
      <c r="E383" s="2" t="inlineStr">
        <is>
          <t>https://gripsfilmsrentals.com/product/canon-5d-mark-iv/</t>
        </is>
      </c>
      <c r="F383" s="2" t="inlineStr">
        <is>
          <t>https://gripsfilmsrentals.com/shop/</t>
        </is>
      </c>
      <c r="G383" s="8" t="inlineStr">
        <is>
          <t>Cameras</t>
        </is>
      </c>
      <c r="H383" s="8" t="inlineStr">
        <is>
          <t>Canon</t>
        </is>
      </c>
      <c r="I383" s="8" t="inlineStr">
        <is>
          <t>Canon</t>
        </is>
      </c>
      <c r="J383" s="9" t="inlineStr"/>
    </row>
    <row r="384" ht="125" customHeight="1">
      <c r="A384" s="2" t="inlineStr">
        <is>
          <t>Canon 60D</t>
        </is>
      </c>
      <c r="B384" s="3" t="n">
        <v>2000</v>
      </c>
      <c r="C384" s="4">
        <f>IMAGE("https://tse1.mm.bing.net/th?q=Canon%2060D", "Canon 60D", 3, 120, 120)</f>
        <v/>
      </c>
      <c r="D384" s="2" t="inlineStr">
        <is>
          <t>https://tse1.mm.bing.net/th?q=Canon%2060D</t>
        </is>
      </c>
      <c r="E384" s="2" t="inlineStr">
        <is>
          <t>https://gripsfilmsrentals.com/product/canon-60d/</t>
        </is>
      </c>
      <c r="F384" s="2" t="inlineStr">
        <is>
          <t>https://gripsfilmsrentals.com/shop/</t>
        </is>
      </c>
      <c r="G384" s="8" t="inlineStr">
        <is>
          <t>Cameras</t>
        </is>
      </c>
      <c r="H384" s="8" t="inlineStr">
        <is>
          <t>Canon</t>
        </is>
      </c>
      <c r="I384" s="8" t="inlineStr">
        <is>
          <t>Canon</t>
        </is>
      </c>
      <c r="J384" s="9" t="inlineStr"/>
    </row>
    <row r="385" ht="125" customHeight="1">
      <c r="A385" s="2" t="inlineStr">
        <is>
          <t>Canon 6D Mark I</t>
        </is>
      </c>
      <c r="B385" s="3" t="n">
        <v>3000</v>
      </c>
      <c r="C385" s="4">
        <f>IMAGE("https://tse1.mm.bing.net/th?q=Canon%206D%20Mark%20I", "Canon 6D Mark I", 3, 120, 120)</f>
        <v/>
      </c>
      <c r="D385" s="2" t="inlineStr">
        <is>
          <t>https://tse1.mm.bing.net/th?q=Canon%206D%20Mark%20I</t>
        </is>
      </c>
      <c r="E385" s="2" t="inlineStr">
        <is>
          <t>https://gripsfilmsrentals.com/product/canon-6d-mark-i/</t>
        </is>
      </c>
      <c r="F385" s="2" t="inlineStr">
        <is>
          <t>https://gripsfilmsrentals.com/shop/</t>
        </is>
      </c>
      <c r="G385" s="8" t="inlineStr">
        <is>
          <t>Cameras</t>
        </is>
      </c>
      <c r="H385" s="8" t="inlineStr">
        <is>
          <t>Canon</t>
        </is>
      </c>
      <c r="I385" s="8" t="inlineStr">
        <is>
          <t>Canon</t>
        </is>
      </c>
      <c r="J385" s="9" t="inlineStr"/>
    </row>
    <row r="386" ht="125" customHeight="1">
      <c r="A386" s="2" t="inlineStr">
        <is>
          <t>Canon 6D Mark II</t>
        </is>
      </c>
      <c r="B386" s="3" t="n">
        <v>3500</v>
      </c>
      <c r="C386" s="4">
        <f>IMAGE("https://tse1.mm.bing.net/th?q=Canon%206D%20Mark%20II", "Canon 6D Mark II", 3, 120, 120)</f>
        <v/>
      </c>
      <c r="D386" s="2" t="inlineStr">
        <is>
          <t>https://tse1.mm.bing.net/th?q=Canon%206D%20Mark%20II</t>
        </is>
      </c>
      <c r="E386" s="2" t="inlineStr">
        <is>
          <t>https://gripsfilmsrentals.com/product/canon-6d-mark-ii/</t>
        </is>
      </c>
      <c r="F386" s="2" t="inlineStr">
        <is>
          <t>https://gripsfilmsrentals.com/shop/</t>
        </is>
      </c>
      <c r="G386" s="8" t="inlineStr">
        <is>
          <t>Cameras</t>
        </is>
      </c>
      <c r="H386" s="8" t="inlineStr">
        <is>
          <t>Canon</t>
        </is>
      </c>
      <c r="I386" s="8" t="inlineStr">
        <is>
          <t>Canon</t>
        </is>
      </c>
      <c r="J386" s="9" t="inlineStr"/>
    </row>
    <row r="387" ht="125" customHeight="1">
      <c r="A387" s="2" t="inlineStr">
        <is>
          <t>Canon 70D</t>
        </is>
      </c>
      <c r="B387" s="3" t="n">
        <v>2000</v>
      </c>
      <c r="C387" s="4">
        <f>IMAGE("https://tse1.mm.bing.net/th?q=Canon%2070D", "Canon 70D", 3, 120, 120)</f>
        <v/>
      </c>
      <c r="D387" s="2" t="inlineStr">
        <is>
          <t>https://tse1.mm.bing.net/th?q=Canon%2070D</t>
        </is>
      </c>
      <c r="E387" s="2" t="inlineStr">
        <is>
          <t>https://gripsfilmsrentals.com/product/canon-70d/</t>
        </is>
      </c>
      <c r="F387" s="2" t="inlineStr">
        <is>
          <t>https://gripsfilmsrentals.com/shop/</t>
        </is>
      </c>
      <c r="G387" s="8" t="inlineStr">
        <is>
          <t>Cameras</t>
        </is>
      </c>
      <c r="H387" s="8" t="inlineStr">
        <is>
          <t>Canon</t>
        </is>
      </c>
      <c r="I387" s="8" t="inlineStr">
        <is>
          <t>Canon</t>
        </is>
      </c>
      <c r="J387" s="9" t="inlineStr"/>
    </row>
    <row r="388" ht="125" customHeight="1">
      <c r="A388" s="2" t="inlineStr">
        <is>
          <t>Canon 80D</t>
        </is>
      </c>
      <c r="B388" s="3" t="n">
        <v>2500</v>
      </c>
      <c r="C388" s="4">
        <f>IMAGE("https://tse1.mm.bing.net/th?q=Canon%2080D", "Canon 80D", 3, 120, 120)</f>
        <v/>
      </c>
      <c r="D388" s="2" t="inlineStr">
        <is>
          <t>https://tse1.mm.bing.net/th?q=Canon%2080D</t>
        </is>
      </c>
      <c r="E388" s="2" t="inlineStr">
        <is>
          <t>https://gripsfilmsrentals.com/product/canon-80d/</t>
        </is>
      </c>
      <c r="F388" s="2" t="inlineStr">
        <is>
          <t>https://gripsfilmsrentals.com/shop/</t>
        </is>
      </c>
      <c r="G388" s="8" t="inlineStr">
        <is>
          <t>Cameras</t>
        </is>
      </c>
      <c r="H388" s="8" t="inlineStr">
        <is>
          <t>Canon</t>
        </is>
      </c>
      <c r="I388" s="8" t="inlineStr">
        <is>
          <t>Canon</t>
        </is>
      </c>
      <c r="J388" s="9" t="inlineStr"/>
    </row>
    <row r="389" ht="125" customHeight="1">
      <c r="A389" s="2" t="inlineStr">
        <is>
          <t>Canon 90D</t>
        </is>
      </c>
      <c r="B389" s="3" t="n">
        <v>3000</v>
      </c>
      <c r="C389" s="4">
        <f>IMAGE("https://tse1.mm.bing.net/th?q=Canon%2090D", "Canon 90D", 3, 120, 120)</f>
        <v/>
      </c>
      <c r="D389" s="2" t="inlineStr">
        <is>
          <t>https://tse1.mm.bing.net/th?q=Canon%2090D</t>
        </is>
      </c>
      <c r="E389" s="2" t="inlineStr">
        <is>
          <t>https://gripsfilmsrentals.com/product/canon-90d/</t>
        </is>
      </c>
      <c r="F389" s="2" t="inlineStr">
        <is>
          <t>https://gripsfilmsrentals.com/shop/</t>
        </is>
      </c>
      <c r="G389" s="8" t="inlineStr">
        <is>
          <t>Photography / Video Accessories</t>
        </is>
      </c>
      <c r="H389" s="8" t="inlineStr">
        <is>
          <t>Accessory</t>
        </is>
      </c>
      <c r="I389" s="8" t="inlineStr">
        <is>
          <t>Canon</t>
        </is>
      </c>
      <c r="J389" s="9" t="inlineStr"/>
    </row>
    <row r="390" ht="125" customHeight="1">
      <c r="A390" s="2" t="inlineStr">
        <is>
          <t>Canon C100 Mark II</t>
        </is>
      </c>
      <c r="B390" s="3" t="n">
        <v>4000</v>
      </c>
      <c r="C390" s="4">
        <f>IMAGE("https://tse1.mm.bing.net/th?q=Canon%20C100%20Mark%20II", "Canon C100 Mark II", 3, 120, 120)</f>
        <v/>
      </c>
      <c r="D390" s="2" t="inlineStr">
        <is>
          <t>https://tse1.mm.bing.net/th?q=Canon%20C100%20Mark%20II</t>
        </is>
      </c>
      <c r="E390" s="2" t="inlineStr">
        <is>
          <t>https://gripsfilmsrentals.com/product/canon-c100-mark-ii/</t>
        </is>
      </c>
      <c r="F390" s="2" t="inlineStr">
        <is>
          <t>https://gripsfilmsrentals.com/shop/</t>
        </is>
      </c>
      <c r="G390" s="8" t="inlineStr">
        <is>
          <t>Cameras</t>
        </is>
      </c>
      <c r="H390" s="8" t="inlineStr">
        <is>
          <t>Canon</t>
        </is>
      </c>
      <c r="I390" s="8" t="inlineStr">
        <is>
          <t>Canon</t>
        </is>
      </c>
      <c r="J390" s="9" t="inlineStr"/>
    </row>
  </sheetData>
  <autoFilter ref="A1:F3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Africa Grips, Films &amp; Rentals — Equipment Catalogue</t>
        </is>
      </c>
    </row>
    <row r="3">
      <c r="A3" s="6" t="inlineStr">
        <is>
          <t>What is included</t>
        </is>
      </c>
    </row>
    <row r="4">
      <c r="A4" s="7" t="inlineStr">
        <is>
          <t>Equipment name, listed rental cost, live equipment image, image-search source, product URL and shop source.</t>
        </is>
      </c>
    </row>
    <row r="6">
      <c r="A6" s="6" t="inlineStr">
        <is>
          <t>Images</t>
        </is>
      </c>
    </row>
    <row r="7" ht="70" customHeight="1">
      <c r="A7" s="7" t="inlineStr">
        <is>
          <t>The Image column uses Excel's IMAGE() function to display a representative equipment image from a live image-search thumbnail. The image is not a fabricated image and is intended to visually identify the equipment. Because the rental website does not expose its image-file URLs in the page data available to me, these are not guaranteed to be the exact photograph used by Africa Grips.</t>
        </is>
      </c>
    </row>
    <row r="9">
      <c r="A9" s="6" t="inlineStr">
        <is>
          <t>Important</t>
        </is>
      </c>
    </row>
    <row r="10" ht="55" customHeight="1">
      <c r="A10" s="7" t="inlineStr">
        <is>
          <t>The IMAGE() formulas require a version of Excel that supports the IMAGE function (for example Microsoft 365 / Excel for the web). If opened in an older Excel version, the image cells may not render.</t>
        </is>
      </c>
    </row>
    <row r="12">
      <c r="A12" s="6" t="inlineStr">
        <is>
          <t>Source</t>
        </is>
      </c>
    </row>
    <row r="13">
      <c r="A13" t="inlineStr">
        <is>
          <t>https://gripsfilmsrentals.com/shop/</t>
        </is>
      </c>
    </row>
    <row r="15">
      <c r="A15" s="6" t="inlineStr">
        <is>
          <t>Categories &amp; Features</t>
        </is>
      </c>
    </row>
    <row r="16" ht="70" customHeight="1">
      <c r="A16" s="7" t="inlineStr">
        <is>
          <t>Category/subcategory values follow the site's Product Categories hierarchy. Where an individual product page exposes a Key Features section, those are the site's product features; for products whose feature text was not available in the indexed page data, the Features/Specs field contains useful specifications parsed from the product title rather than invented technical claims.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0" t="inlineStr">
        <is>
          <t>Category</t>
        </is>
      </c>
      <c r="B1" s="10" t="inlineStr">
        <is>
          <t>Subcategory</t>
        </is>
      </c>
    </row>
    <row r="2">
      <c r="A2" t="inlineStr">
        <is>
          <t>Batteries plus Chargers</t>
        </is>
      </c>
      <c r="B2" t="inlineStr">
        <is>
          <t>Battery / Charger</t>
        </is>
      </c>
    </row>
    <row r="3">
      <c r="A3" t="inlineStr">
        <is>
          <t>Cameras</t>
        </is>
      </c>
      <c r="B3" t="inlineStr">
        <is>
          <t>Action Cameras</t>
        </is>
      </c>
    </row>
    <row r="4">
      <c r="A4" t="inlineStr">
        <is>
          <t>Cameras</t>
        </is>
      </c>
      <c r="B4" t="inlineStr">
        <is>
          <t>ARRI</t>
        </is>
      </c>
    </row>
    <row r="5">
      <c r="A5" t="inlineStr">
        <is>
          <t>Cameras</t>
        </is>
      </c>
      <c r="B5" t="inlineStr">
        <is>
          <t>Black Magic</t>
        </is>
      </c>
    </row>
    <row r="6">
      <c r="A6" t="inlineStr">
        <is>
          <t>Cameras</t>
        </is>
      </c>
      <c r="B6" t="inlineStr">
        <is>
          <t>Canon</t>
        </is>
      </c>
    </row>
    <row r="7">
      <c r="A7" t="inlineStr">
        <is>
          <t>Cameras</t>
        </is>
      </c>
      <c r="B7" t="inlineStr">
        <is>
          <t>GoPro</t>
        </is>
      </c>
    </row>
    <row r="8">
      <c r="A8" t="inlineStr">
        <is>
          <t>Cameras</t>
        </is>
      </c>
      <c r="B8" t="inlineStr">
        <is>
          <t>Nikon</t>
        </is>
      </c>
    </row>
    <row r="9">
      <c r="A9" t="inlineStr">
        <is>
          <t>Cameras</t>
        </is>
      </c>
      <c r="B9" t="inlineStr">
        <is>
          <t>Panasonic</t>
        </is>
      </c>
    </row>
    <row r="10">
      <c r="A10" t="inlineStr">
        <is>
          <t>Cameras</t>
        </is>
      </c>
      <c r="B10" t="inlineStr">
        <is>
          <t>PTZ Cameras</t>
        </is>
      </c>
    </row>
    <row r="11">
      <c r="A11" t="inlineStr">
        <is>
          <t>Cameras</t>
        </is>
      </c>
      <c r="B11" t="inlineStr">
        <is>
          <t>Red Komodo</t>
        </is>
      </c>
    </row>
    <row r="12">
      <c r="A12" t="inlineStr">
        <is>
          <t>Cameras</t>
        </is>
      </c>
      <c r="B12" t="inlineStr">
        <is>
          <t>Sony</t>
        </is>
      </c>
    </row>
    <row r="13">
      <c r="A13" t="inlineStr">
        <is>
          <t>Drones</t>
        </is>
      </c>
      <c r="B13" t="inlineStr">
        <is>
          <t>Drone</t>
        </is>
      </c>
    </row>
    <row r="14">
      <c r="A14" t="inlineStr">
        <is>
          <t>External Monitors</t>
        </is>
      </c>
      <c r="B14" t="inlineStr">
        <is>
          <t>External Monitor</t>
        </is>
      </c>
    </row>
    <row r="15">
      <c r="A15" t="inlineStr">
        <is>
          <t>Focus Pulling Systems</t>
        </is>
      </c>
      <c r="B15" t="inlineStr">
        <is>
          <t>Focus Pulling</t>
        </is>
      </c>
    </row>
    <row r="16">
      <c r="A16" t="inlineStr">
        <is>
          <t>Image Transmission System</t>
        </is>
      </c>
      <c r="B16" t="inlineStr">
        <is>
          <t>Wireless Video Transmission</t>
        </is>
      </c>
    </row>
    <row r="17">
      <c r="A17" t="inlineStr">
        <is>
          <t>Lenses</t>
        </is>
      </c>
      <c r="B17" t="inlineStr">
        <is>
          <t>Canon</t>
        </is>
      </c>
    </row>
    <row r="18">
      <c r="A18" t="inlineStr">
        <is>
          <t>Lenses</t>
        </is>
      </c>
      <c r="B18" t="inlineStr">
        <is>
          <t>Nikon</t>
        </is>
      </c>
    </row>
    <row r="19">
      <c r="A19" t="inlineStr">
        <is>
          <t>Lenses</t>
        </is>
      </c>
      <c r="B19" t="inlineStr">
        <is>
          <t>PL Mount</t>
        </is>
      </c>
    </row>
    <row r="20">
      <c r="A20" t="inlineStr">
        <is>
          <t>Lenses</t>
        </is>
      </c>
      <c r="B20" t="inlineStr">
        <is>
          <t>Rokinon</t>
        </is>
      </c>
    </row>
    <row r="21">
      <c r="A21" t="inlineStr">
        <is>
          <t>Lenses</t>
        </is>
      </c>
      <c r="B21" t="inlineStr">
        <is>
          <t>Sigma</t>
        </is>
      </c>
    </row>
    <row r="22">
      <c r="A22" t="inlineStr">
        <is>
          <t>Lenses</t>
        </is>
      </c>
      <c r="B22" t="inlineStr">
        <is>
          <t>Sony</t>
        </is>
      </c>
    </row>
    <row r="23">
      <c r="A23" t="inlineStr">
        <is>
          <t>Lenses</t>
        </is>
      </c>
      <c r="B23" t="inlineStr">
        <is>
          <t>Tamron</t>
        </is>
      </c>
    </row>
    <row r="24">
      <c r="A24" t="inlineStr">
        <is>
          <t>Lenses</t>
        </is>
      </c>
      <c r="B24" t="inlineStr">
        <is>
          <t>Tokina</t>
        </is>
      </c>
    </row>
    <row r="25">
      <c r="A25" t="inlineStr">
        <is>
          <t>Lenses</t>
        </is>
      </c>
      <c r="B25" t="inlineStr">
        <is>
          <t>Prime Lenses</t>
        </is>
      </c>
    </row>
    <row r="26">
      <c r="A26" t="inlineStr">
        <is>
          <t>Lenses</t>
        </is>
      </c>
      <c r="B26" t="inlineStr">
        <is>
          <t>Zoom Lenses</t>
        </is>
      </c>
    </row>
    <row r="27">
      <c r="A27" t="inlineStr">
        <is>
          <t>Lights</t>
        </is>
      </c>
      <c r="B27" t="inlineStr">
        <is>
          <t>Continous lights</t>
        </is>
      </c>
    </row>
    <row r="28">
      <c r="A28" t="inlineStr">
        <is>
          <t>Lights</t>
        </is>
      </c>
      <c r="B28" t="inlineStr">
        <is>
          <t>Effect Lights</t>
        </is>
      </c>
    </row>
    <row r="29">
      <c r="A29" t="inlineStr">
        <is>
          <t>Lights</t>
        </is>
      </c>
      <c r="B29" t="inlineStr">
        <is>
          <t>Flourescent Lights</t>
        </is>
      </c>
    </row>
    <row r="30">
      <c r="A30" t="inlineStr">
        <is>
          <t>Lights</t>
        </is>
      </c>
      <c r="B30" t="inlineStr">
        <is>
          <t>HMIS</t>
        </is>
      </c>
    </row>
    <row r="31">
      <c r="A31" t="inlineStr">
        <is>
          <t>Lights</t>
        </is>
      </c>
      <c r="B31" t="inlineStr">
        <is>
          <t>Other Lights</t>
        </is>
      </c>
    </row>
    <row r="32">
      <c r="A32" t="inlineStr">
        <is>
          <t>Lights</t>
        </is>
      </c>
      <c r="B32" t="inlineStr">
        <is>
          <t>Speedlights</t>
        </is>
      </c>
    </row>
    <row r="33">
      <c r="A33" t="inlineStr">
        <is>
          <t>Lights</t>
        </is>
      </c>
      <c r="B33" t="inlineStr">
        <is>
          <t>Strobe Lights</t>
        </is>
      </c>
    </row>
    <row r="34">
      <c r="A34" t="inlineStr">
        <is>
          <t>Lights</t>
        </is>
      </c>
      <c r="B34" t="inlineStr">
        <is>
          <t>Tungsten</t>
        </is>
      </c>
    </row>
    <row r="35">
      <c r="A35" t="inlineStr">
        <is>
          <t>Livestream/Switchers</t>
        </is>
      </c>
      <c r="B35" t="inlineStr">
        <is>
          <t>Switchers / Streaming</t>
        </is>
      </c>
    </row>
    <row r="36">
      <c r="A36" t="inlineStr">
        <is>
          <t>Modifiers</t>
        </is>
      </c>
      <c r="B36" t="inlineStr">
        <is>
          <t>Light Modifier</t>
        </is>
      </c>
    </row>
    <row r="37">
      <c r="A37" t="inlineStr">
        <is>
          <t>Motion</t>
        </is>
      </c>
      <c r="B37" t="inlineStr">
        <is>
          <t>Dolly / Slider / Jib</t>
        </is>
      </c>
    </row>
    <row r="38">
      <c r="A38" t="inlineStr">
        <is>
          <t>Photography / Video Accessories</t>
        </is>
      </c>
      <c r="B38" t="inlineStr">
        <is>
          <t>Accessory</t>
        </is>
      </c>
    </row>
    <row r="39">
      <c r="A39" t="inlineStr">
        <is>
          <t>Post Production Services</t>
        </is>
      </c>
      <c r="B39" t="inlineStr">
        <is>
          <t>Retouch</t>
        </is>
      </c>
    </row>
    <row r="40">
      <c r="A40" t="inlineStr">
        <is>
          <t>Post Production Services</t>
        </is>
      </c>
      <c r="B40" t="inlineStr">
        <is>
          <t>Rendering/Encoding</t>
        </is>
      </c>
    </row>
    <row r="41">
      <c r="A41" t="inlineStr">
        <is>
          <t>Post Production Services</t>
        </is>
      </c>
      <c r="B41" t="inlineStr">
        <is>
          <t>SFX/VFX</t>
        </is>
      </c>
    </row>
    <row r="42">
      <c r="A42" t="inlineStr">
        <is>
          <t>Post Production Services</t>
        </is>
      </c>
      <c r="B42" t="inlineStr">
        <is>
          <t>Motion Graphics</t>
        </is>
      </c>
    </row>
    <row r="43">
      <c r="A43" t="inlineStr">
        <is>
          <t>Post Production Services</t>
        </is>
      </c>
      <c r="B43" t="inlineStr">
        <is>
          <t>Color Grading</t>
        </is>
      </c>
    </row>
    <row r="44">
      <c r="A44" t="inlineStr">
        <is>
          <t>Post Production Services</t>
        </is>
      </c>
      <c r="B44" t="inlineStr">
        <is>
          <t>Video Editing</t>
        </is>
      </c>
    </row>
    <row r="45">
      <c r="A45" t="inlineStr">
        <is>
          <t>Post Production Services</t>
        </is>
      </c>
      <c r="B45" t="inlineStr">
        <is>
          <t>Photo Editing</t>
        </is>
      </c>
    </row>
    <row r="46">
      <c r="A46" t="inlineStr">
        <is>
          <t>Sound</t>
        </is>
      </c>
      <c r="B46" t="inlineStr">
        <is>
          <t>Boom Mic</t>
        </is>
      </c>
    </row>
    <row r="47">
      <c r="A47" t="inlineStr">
        <is>
          <t>Sound</t>
        </is>
      </c>
      <c r="B47" t="inlineStr">
        <is>
          <t>Lapels</t>
        </is>
      </c>
    </row>
    <row r="48">
      <c r="A48" t="inlineStr">
        <is>
          <t>Sound</t>
        </is>
      </c>
      <c r="B48" t="inlineStr">
        <is>
          <t>Microphone</t>
        </is>
      </c>
    </row>
    <row r="49">
      <c r="A49" t="inlineStr">
        <is>
          <t>Sound</t>
        </is>
      </c>
      <c r="B49" t="inlineStr">
        <is>
          <t>Zoom Recorder</t>
        </is>
      </c>
    </row>
    <row r="50">
      <c r="A50" t="inlineStr">
        <is>
          <t>Spaces</t>
        </is>
      </c>
      <c r="B50" t="inlineStr">
        <is>
          <t>Studio / Backdrop</t>
        </is>
      </c>
    </row>
    <row r="51">
      <c r="A51" t="inlineStr">
        <is>
          <t>Stabilizers</t>
        </is>
      </c>
      <c r="B51" t="inlineStr">
        <is>
          <t>Gimbal / Stabilizer</t>
        </is>
      </c>
    </row>
    <row r="52">
      <c r="A52" t="inlineStr">
        <is>
          <t>Stands</t>
        </is>
      </c>
      <c r="B52" t="inlineStr">
        <is>
          <t>Stand / Support</t>
        </is>
      </c>
    </row>
    <row r="53">
      <c r="A53" t="inlineStr">
        <is>
          <t>Storage</t>
        </is>
      </c>
      <c r="B53" t="inlineStr">
        <is>
          <t>Memory / Card Reader</t>
        </is>
      </c>
    </row>
    <row r="54">
      <c r="A54" t="inlineStr">
        <is>
          <t>Trigger</t>
        </is>
      </c>
      <c r="B54" t="inlineStr">
        <is>
          <t>Trigger</t>
        </is>
      </c>
    </row>
  </sheetData>
  <autoFilter ref="A1:B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2026-08-11T15:35:31Z</dcterms:created>
  <dcterms:modified xmlns:dcterms="http://purl.org/dc/terms/" xmlns:xsi="http://www.w3.org/2001/XMLSchema-instance" xsi:type="dcterms:W3CDTF">2026-08-11T15:36:47Z</dcterms:modified>
</cp:coreProperties>
</file>